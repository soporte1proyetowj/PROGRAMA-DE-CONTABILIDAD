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CONTABILIDAD\"/>
    </mc:Choice>
  </mc:AlternateContent>
  <bookViews>
    <workbookView xWindow="0" yWindow="0" windowWidth="24000" windowHeight="9630" tabRatio="478" firstSheet="4" activeTab="7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BONOS'!$A$1:$M$12</definedName>
    <definedName name="_xlnm._FilterDatabase" localSheetId="6" hidden="1">'REGISTRO ABONOS'!$B$8:$BC$12</definedName>
  </definedNames>
  <calcPr calcId="162913" iterateCount="1"/>
  <webPublishing codePage="1252"/>
</workbook>
</file>

<file path=xl/calcChain.xml><?xml version="1.0" encoding="utf-8"?>
<calcChain xmlns="http://schemas.openxmlformats.org/spreadsheetml/2006/main">
  <c r="M12" i="10" l="1"/>
  <c r="P12" i="10"/>
  <c r="Q12" i="10" s="1"/>
  <c r="M10" i="10" l="1"/>
  <c r="Q10" i="10"/>
  <c r="Q9" i="10"/>
  <c r="M9" i="10"/>
  <c r="BD9" i="26"/>
  <c r="BC9" i="26" s="1"/>
  <c r="E9" i="26"/>
  <c r="D9" i="26"/>
  <c r="C9" i="26"/>
  <c r="F9" i="26" s="1"/>
  <c r="K10" i="9"/>
  <c r="L9" i="9"/>
  <c r="K9" i="9"/>
  <c r="E12" i="26" l="1"/>
  <c r="M11" i="10"/>
  <c r="Q11" i="10"/>
  <c r="BD10" i="26"/>
  <c r="BC10" i="26" s="1"/>
  <c r="L10" i="9" s="1"/>
  <c r="E10" i="26"/>
  <c r="D10" i="26"/>
  <c r="C10" i="26"/>
  <c r="F10" i="26" s="1"/>
  <c r="K11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8" i="18"/>
  <c r="M4908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4" i="18"/>
  <c r="M6484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8" i="18"/>
  <c r="M8508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0" i="18"/>
  <c r="M8720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0" i="18"/>
  <c r="M8740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11" i="26" l="1"/>
  <c r="D12" i="26"/>
  <c r="C12" i="26"/>
  <c r="F12" i="26" s="1"/>
  <c r="K12" i="9"/>
  <c r="BD12" i="26"/>
  <c r="BC11" i="26" s="1"/>
  <c r="E11" i="26"/>
  <c r="D11" i="26"/>
  <c r="C11" i="26"/>
  <c r="F11" i="26" s="1"/>
  <c r="K1945" i="18" l="1"/>
  <c r="M1945" i="18" s="1"/>
  <c r="L11" i="9"/>
  <c r="BC12" i="26"/>
  <c r="L9" i="18"/>
  <c r="M9" i="16"/>
  <c r="N9" i="16"/>
  <c r="O9" i="16"/>
  <c r="S9" i="16"/>
  <c r="N9" i="11"/>
  <c r="K1974" i="18" l="1"/>
  <c r="M1974" i="18" s="1"/>
  <c r="L12" i="9"/>
  <c r="S9" i="11"/>
  <c r="O9" i="11"/>
  <c r="M9" i="11"/>
  <c r="P9" i="11" s="1"/>
  <c r="T9" i="11" l="1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H4" i="22" l="1"/>
  <c r="R9" i="10"/>
  <c r="N9" i="10"/>
  <c r="O9" i="10"/>
  <c r="N12" i="10"/>
  <c r="O12" i="10"/>
  <c r="R12" i="10"/>
  <c r="N10" i="10"/>
  <c r="O10" i="10"/>
  <c r="R10" i="10"/>
  <c r="N11" i="10"/>
  <c r="O11" i="10"/>
  <c r="R11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<sst xmlns="http://schemas.openxmlformats.org/spreadsheetml/2006/main" count="307" uniqueCount="79">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</sst>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</cellXfs>
  <cellStyles count="3">
    <cellStyle name="Hipervínculo" xfId="1" builtinId="8"/>
    <cellStyle name="Millares [0]" xfId="2" builtinId="6"/>
    <cellStyle name="Normal" xfId="0" builtinId="0" customBuiltin="1"/>
  </cellStyles>
  <dxfs count="91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11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2" totalsRowShown="0" headerRowDxfId="87" headerRowBorderDxfId="86" tableBorderDxfId="85" totalsRowBorderDxfId="84">
  <autoFilter ref="B8:L12"/>
  <sortState ref="B9:L11">
    <sortCondition ref="B8:B11"/>
  </sortState>
  <tableColumns count="11">
    <tableColumn id="1" name="N° BONO" dataDxfId="83" dataCellStyle="Millares [0]"/>
    <tableColumn id="2" name="FECHA      " dataDxfId="82"/>
    <tableColumn id="3" name="NOMBRE PERSONA" dataDxfId="81"/>
    <tableColumn id="4" name="DIRECCION" dataDxfId="80"/>
    <tableColumn id="5" name="TELEFONO" dataDxfId="79"/>
    <tableColumn id="6" name="DOCUMENTO" dataDxfId="78"/>
    <tableColumn id="11" name="CIUDAD" dataDxfId="77"/>
    <tableColumn id="10" name="DEPARTAMENTO" dataDxfId="76"/>
    <tableColumn id="7" name="NOMBRE VENDEDOR" dataDxfId="75"/>
    <tableColumn id="8" name="VALOR" dataDxfId="74">
      <calculatedColumnFormula>IF(C9&gt;43607,130000,105000)</calculatedColumnFormula>
    </tableColumn>
    <tableColumn id="9" name="VALOR RESTANTE" dataDxfId="73">
      <calculatedColumnFormula>VLOOKUP(B9,'REGISTRO ABONOS'!$B$8:$BC$10009,54,0)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2" totalsRowShown="0" headerRowDxfId="72" headerRowBorderDxfId="71" tableBorderDxfId="70" totalsRowBorderDxfId="69">
  <autoFilter ref="B8:R12"/>
  <sortState ref="B9:R10">
    <sortCondition ref="B8:B10"/>
  </sortState>
  <tableColumns count="17">
    <tableColumn id="1" name="N° BONO" dataDxfId="68"/>
    <tableColumn id="2" name="FECHA      " dataDxfId="67"/>
    <tableColumn id="3" name="NOMBRE VENDEDOR" dataDxfId="66"/>
    <tableColumn id="12" name="NOMBRE TITULAR BONO" dataDxfId="65"/>
    <tableColumn id="4" name="DIRECCION" dataDxfId="64"/>
    <tableColumn id="5" name="TELEFONO" dataDxfId="63"/>
    <tableColumn id="6" name="DOCUMENTO" dataDxfId="62"/>
    <tableColumn id="17" name="CIUDAD" dataDxfId="61"/>
    <tableColumn id="16" name="DEPARTAMENTO" dataDxfId="60"/>
    <tableColumn id="7" name="ID" dataDxfId="59"/>
    <tableColumn id="8" name="PLOMOTOR/ASESOR" dataDxfId="58"/>
    <tableColumn id="9" name="VALOR BONO" dataDxfId="57">
      <calculatedColumnFormula>IF(C9&gt;43607,130000,105000)</calculatedColumnFormula>
    </tableColumn>
    <tableColumn id="10" name="VALOR RESTANTE" dataDxfId="56">
      <calculatedColumnFormula>Tabla1[[#This Row],[VALOR RESTANTE]:[TOTAL]]=VLOOKUP(B9,#REF!,30,0)</calculatedColumnFormula>
    </tableColumn>
    <tableColumn id="13" name="COMISION BONO" dataDxfId="55">
      <calculatedColumnFormula>IF(Tabla1[VALOR RESTANTE]&gt;0,0,IF(C9&gt;43607,40000,35000))</calculatedColumnFormula>
    </tableColumn>
    <tableColumn id="11" name="CANTIDAD BONOS VENDIDOS" dataDxfId="54">
      <calculatedColumnFormula>IF(Tabla1[NOMBRE VENDEDOR]=#REF!,COUNTIF(#REF!,(Tabla1[NOMBRE VENDEDOR]=#REF!)=0),0)</calculatedColumnFormula>
    </tableColumn>
    <tableColumn id="14" name="INSENTIVO VENTA" dataDxfId="5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" totalsRowShown="0" headerRowDxfId="51" headerRowBorderDxfId="50" tableBorderDxfId="49" totalsRowBorderDxfId="48">
  <autoFilter ref="B8:T9"/>
  <sortState ref="B9:T13">
    <sortCondition ref="B8:B13"/>
  </sortState>
  <tableColumns count="19">
    <tableColumn id="1" name="N° BONO" dataDxfId="47"/>
    <tableColumn id="2" name="FECHA      " dataDxfId="46"/>
    <tableColumn id="3" name="NOMBRE PROMOTOR" dataDxfId="45"/>
    <tableColumn id="12" name="NOMBRE TITULAR BONO" dataDxfId="44"/>
    <tableColumn id="4" name="DIRECCION" dataDxfId="43"/>
    <tableColumn id="5" name="TELEFONO" dataDxfId="42"/>
    <tableColumn id="19" name="CIUDAD"/>
    <tableColumn id="18" name="DEPARTAMENTO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ABONOS'!$B$8:$BC$10009,30,0)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ABONOS'!$B$8:$BC$10009,30,0)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08" totalsRowShown="0" tableBorderDxfId="6">
  <autoFilter ref="B8:M10008"/>
  <sortState ref="B9:J15">
    <sortCondition ref="B8:B15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ABONOS'!$B$8:$BC$10012,54,0)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VLOOKUP(D4,BODEGA!$B$8:$M$10010,11,0)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5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0" priority="1" operator="equal">
      <formula>1</formula>
    </cfRule>
    <cfRule type="cellIs" dxfId="89" priority="2" operator="equal">
      <formula>0</formula>
    </cfRule>
    <cfRule type="cellIs" dxfId="88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86" t="s">
        <v>39</v>
      </c>
      <c r="C6" s="56" t="s">
        <v>8</v>
      </c>
      <c r="D6" s="75"/>
    </row>
    <row r="7" spans="2:8" x14ac:dyDescent="0.2">
      <c r="B7" s="86"/>
      <c r="C7" s="56"/>
    </row>
    <row r="8" spans="2:8" ht="25.5" customHeight="1" x14ac:dyDescent="0.2">
      <c r="B8" s="86"/>
      <c r="C8" s="56" t="s">
        <v>37</v>
      </c>
      <c r="D8" s="53"/>
    </row>
    <row r="9" spans="2:8" ht="9.9499999999999993" customHeight="1" x14ac:dyDescent="0.2">
      <c r="B9" s="86"/>
      <c r="C9" s="56"/>
    </row>
    <row r="10" spans="2:8" ht="25.5" customHeight="1" x14ac:dyDescent="0.2">
      <c r="B10" s="86"/>
      <c r="C10" s="56" t="s">
        <v>54</v>
      </c>
      <c r="D10" s="53"/>
    </row>
    <row r="11" spans="2:8" x14ac:dyDescent="0.2">
      <c r="B11" s="86"/>
      <c r="C11" s="56"/>
    </row>
    <row r="12" spans="2:8" ht="25.5" customHeight="1" x14ac:dyDescent="0.2">
      <c r="B12" s="86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86" t="s">
        <v>40</v>
      </c>
      <c r="C14" s="56" t="s">
        <v>8</v>
      </c>
      <c r="D14" s="75"/>
    </row>
    <row r="15" spans="2:8" x14ac:dyDescent="0.2">
      <c r="B15" s="86"/>
      <c r="C15" s="56"/>
    </row>
    <row r="16" spans="2:8" ht="25.5" customHeight="1" x14ac:dyDescent="0.2">
      <c r="B16" s="86"/>
      <c r="C16" s="56" t="s">
        <v>37</v>
      </c>
      <c r="D16" s="53"/>
    </row>
    <row r="17" spans="2:4" ht="9.9499999999999993" customHeight="1" x14ac:dyDescent="0.2">
      <c r="B17" s="86"/>
      <c r="C17" s="56"/>
    </row>
    <row r="18" spans="2:4" ht="25.5" customHeight="1" x14ac:dyDescent="0.2">
      <c r="B18" s="86"/>
      <c r="C18" s="56" t="s">
        <v>54</v>
      </c>
      <c r="D18" s="53"/>
    </row>
    <row r="19" spans="2:4" x14ac:dyDescent="0.2">
      <c r="B19" s="86"/>
      <c r="C19" s="56"/>
    </row>
    <row r="20" spans="2:4" ht="25.5" customHeight="1" x14ac:dyDescent="0.2">
      <c r="B20" s="86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86" t="s">
        <v>41</v>
      </c>
      <c r="C22" s="56" t="s">
        <v>8</v>
      </c>
      <c r="D22" s="53"/>
    </row>
    <row r="23" spans="2:4" x14ac:dyDescent="0.2">
      <c r="B23" s="86"/>
      <c r="C23" s="56"/>
    </row>
    <row r="24" spans="2:4" ht="25.5" customHeight="1" x14ac:dyDescent="0.2">
      <c r="B24" s="86"/>
      <c r="C24" s="56" t="s">
        <v>37</v>
      </c>
      <c r="D24" s="53"/>
    </row>
    <row r="25" spans="2:4" ht="9.9499999999999993" customHeight="1" x14ac:dyDescent="0.2">
      <c r="B25" s="86"/>
      <c r="C25" s="56"/>
    </row>
    <row r="26" spans="2:4" ht="25.5" customHeight="1" x14ac:dyDescent="0.2">
      <c r="B26" s="86"/>
      <c r="C26" s="56" t="s">
        <v>54</v>
      </c>
      <c r="D26" s="53"/>
    </row>
    <row r="27" spans="2:4" x14ac:dyDescent="0.2">
      <c r="B27" s="86"/>
      <c r="C27" s="56"/>
    </row>
    <row r="28" spans="2:4" ht="25.5" customHeight="1" x14ac:dyDescent="0.2">
      <c r="B28" s="86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86" t="s">
        <v>42</v>
      </c>
      <c r="C30" s="56" t="s">
        <v>8</v>
      </c>
      <c r="D30" s="53"/>
    </row>
    <row r="31" spans="2:4" x14ac:dyDescent="0.2">
      <c r="B31" s="86"/>
      <c r="C31" s="56"/>
    </row>
    <row r="32" spans="2:4" ht="25.5" customHeight="1" x14ac:dyDescent="0.2">
      <c r="B32" s="86"/>
      <c r="C32" s="56" t="s">
        <v>37</v>
      </c>
      <c r="D32" s="53"/>
    </row>
    <row r="33" spans="2:4" ht="9.9499999999999993" customHeight="1" x14ac:dyDescent="0.2">
      <c r="B33" s="86"/>
      <c r="C33" s="56"/>
    </row>
    <row r="34" spans="2:4" ht="25.5" customHeight="1" x14ac:dyDescent="0.2">
      <c r="B34" s="86"/>
      <c r="C34" s="56" t="s">
        <v>54</v>
      </c>
      <c r="D34" s="53"/>
    </row>
    <row r="35" spans="2:4" x14ac:dyDescent="0.2">
      <c r="B35" s="86"/>
      <c r="C35" s="56"/>
    </row>
    <row r="36" spans="2:4" ht="25.5" customHeight="1" x14ac:dyDescent="0.2">
      <c r="B36" s="86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86" t="s">
        <v>43</v>
      </c>
      <c r="C38" s="56" t="s">
        <v>8</v>
      </c>
      <c r="D38" s="53"/>
    </row>
    <row r="39" spans="2:4" x14ac:dyDescent="0.2">
      <c r="B39" s="86"/>
      <c r="C39" s="56"/>
    </row>
    <row r="40" spans="2:4" ht="25.5" customHeight="1" x14ac:dyDescent="0.2">
      <c r="B40" s="86"/>
      <c r="C40" s="56" t="s">
        <v>37</v>
      </c>
      <c r="D40" s="53"/>
    </row>
    <row r="41" spans="2:4" ht="9.9499999999999993" customHeight="1" x14ac:dyDescent="0.2">
      <c r="B41" s="86"/>
      <c r="C41" s="56"/>
    </row>
    <row r="42" spans="2:4" ht="25.5" customHeight="1" x14ac:dyDescent="0.2">
      <c r="B42" s="86"/>
      <c r="C42" s="56" t="s">
        <v>54</v>
      </c>
      <c r="D42" s="53"/>
    </row>
    <row r="43" spans="2:4" x14ac:dyDescent="0.2">
      <c r="B43" s="86"/>
      <c r="C43" s="56"/>
    </row>
    <row r="44" spans="2:4" ht="25.5" customHeight="1" x14ac:dyDescent="0.2">
      <c r="B44" s="86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86" t="s">
        <v>44</v>
      </c>
      <c r="C46" s="56" t="s">
        <v>8</v>
      </c>
      <c r="D46" s="53"/>
    </row>
    <row r="47" spans="2:4" x14ac:dyDescent="0.2">
      <c r="B47" s="86"/>
      <c r="C47" s="56"/>
    </row>
    <row r="48" spans="2:4" ht="25.5" customHeight="1" x14ac:dyDescent="0.2">
      <c r="B48" s="86"/>
      <c r="C48" s="56" t="s">
        <v>37</v>
      </c>
      <c r="D48" s="53"/>
    </row>
    <row r="49" spans="2:4" ht="9.9499999999999993" customHeight="1" x14ac:dyDescent="0.2">
      <c r="B49" s="86"/>
      <c r="C49" s="56"/>
    </row>
    <row r="50" spans="2:4" ht="25.5" customHeight="1" x14ac:dyDescent="0.2">
      <c r="B50" s="86"/>
      <c r="C50" s="56" t="s">
        <v>54</v>
      </c>
      <c r="D50" s="53"/>
    </row>
    <row r="51" spans="2:4" x14ac:dyDescent="0.2">
      <c r="B51" s="86"/>
      <c r="C51" s="56"/>
    </row>
    <row r="52" spans="2:4" ht="25.5" customHeight="1" x14ac:dyDescent="0.2">
      <c r="B52" s="86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86" t="s">
        <v>45</v>
      </c>
      <c r="C54" s="56" t="s">
        <v>8</v>
      </c>
      <c r="D54" s="53"/>
    </row>
    <row r="55" spans="2:4" x14ac:dyDescent="0.2">
      <c r="B55" s="86"/>
      <c r="C55" s="56"/>
    </row>
    <row r="56" spans="2:4" ht="26.25" customHeight="1" x14ac:dyDescent="0.2">
      <c r="B56" s="86"/>
      <c r="C56" s="56" t="s">
        <v>37</v>
      </c>
      <c r="D56" s="53"/>
    </row>
    <row r="57" spans="2:4" x14ac:dyDescent="0.2">
      <c r="B57" s="86"/>
      <c r="C57" s="56"/>
    </row>
    <row r="58" spans="2:4" ht="25.5" customHeight="1" x14ac:dyDescent="0.2">
      <c r="B58" s="86"/>
      <c r="C58" s="56" t="s">
        <v>54</v>
      </c>
      <c r="D58" s="53"/>
    </row>
    <row r="59" spans="2:4" x14ac:dyDescent="0.2">
      <c r="B59" s="86"/>
      <c r="C59" s="56"/>
    </row>
    <row r="60" spans="2:4" ht="25.5" customHeight="1" x14ac:dyDescent="0.2">
      <c r="B60" s="86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86" t="s">
        <v>46</v>
      </c>
      <c r="C62" s="56" t="s">
        <v>8</v>
      </c>
      <c r="D62" s="53"/>
    </row>
    <row r="63" spans="2:4" x14ac:dyDescent="0.2">
      <c r="B63" s="86"/>
      <c r="C63" s="56"/>
    </row>
    <row r="64" spans="2:4" ht="26.25" customHeight="1" x14ac:dyDescent="0.2">
      <c r="B64" s="86"/>
      <c r="C64" s="56" t="s">
        <v>37</v>
      </c>
      <c r="D64" s="53"/>
    </row>
    <row r="65" spans="2:4" x14ac:dyDescent="0.2">
      <c r="B65" s="86"/>
      <c r="C65" s="56"/>
    </row>
    <row r="66" spans="2:4" ht="25.5" customHeight="1" x14ac:dyDescent="0.2">
      <c r="B66" s="86"/>
      <c r="C66" s="56" t="s">
        <v>54</v>
      </c>
      <c r="D66" s="53"/>
    </row>
    <row r="67" spans="2:4" x14ac:dyDescent="0.2">
      <c r="B67" s="86"/>
      <c r="C67" s="56"/>
    </row>
    <row r="68" spans="2:4" ht="25.5" customHeight="1" x14ac:dyDescent="0.2">
      <c r="B68" s="86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86" t="s">
        <v>47</v>
      </c>
      <c r="C70" s="56" t="s">
        <v>8</v>
      </c>
      <c r="D70" s="53"/>
    </row>
    <row r="71" spans="2:4" x14ac:dyDescent="0.2">
      <c r="B71" s="86"/>
      <c r="C71" s="56"/>
    </row>
    <row r="72" spans="2:4" ht="26.25" customHeight="1" x14ac:dyDescent="0.2">
      <c r="B72" s="86"/>
      <c r="C72" s="56" t="s">
        <v>37</v>
      </c>
      <c r="D72" s="53"/>
    </row>
    <row r="73" spans="2:4" x14ac:dyDescent="0.2">
      <c r="B73" s="86"/>
      <c r="C73" s="56"/>
    </row>
    <row r="74" spans="2:4" ht="25.5" customHeight="1" x14ac:dyDescent="0.2">
      <c r="B74" s="86"/>
      <c r="C74" s="56" t="s">
        <v>54</v>
      </c>
      <c r="D74" s="53"/>
    </row>
    <row r="75" spans="2:4" x14ac:dyDescent="0.2">
      <c r="B75" s="86"/>
      <c r="C75" s="56"/>
    </row>
    <row r="76" spans="2:4" ht="25.5" customHeight="1" x14ac:dyDescent="0.2">
      <c r="B76" s="86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86" t="s">
        <v>48</v>
      </c>
      <c r="C78" s="56" t="s">
        <v>8</v>
      </c>
      <c r="D78" s="53"/>
    </row>
    <row r="79" spans="2:4" x14ac:dyDescent="0.2">
      <c r="B79" s="86"/>
      <c r="C79" s="56"/>
    </row>
    <row r="80" spans="2:4" ht="26.25" customHeight="1" x14ac:dyDescent="0.2">
      <c r="B80" s="86"/>
      <c r="C80" s="56" t="s">
        <v>37</v>
      </c>
      <c r="D80" s="53"/>
    </row>
    <row r="81" spans="2:4" x14ac:dyDescent="0.2">
      <c r="B81" s="86"/>
      <c r="C81" s="56"/>
    </row>
    <row r="82" spans="2:4" ht="25.5" customHeight="1" x14ac:dyDescent="0.2">
      <c r="B82" s="86"/>
      <c r="C82" s="56" t="s">
        <v>54</v>
      </c>
      <c r="D82" s="53"/>
    </row>
    <row r="83" spans="2:4" x14ac:dyDescent="0.2">
      <c r="B83" s="86"/>
      <c r="C83" s="56"/>
    </row>
    <row r="84" spans="2:4" ht="25.5" customHeight="1" x14ac:dyDescent="0.2">
      <c r="B84" s="86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86" t="s">
        <v>49</v>
      </c>
      <c r="C86" s="56" t="s">
        <v>8</v>
      </c>
      <c r="D86" s="53"/>
    </row>
    <row r="87" spans="2:4" x14ac:dyDescent="0.2">
      <c r="B87" s="86"/>
      <c r="C87" s="56"/>
    </row>
    <row r="88" spans="2:4" ht="26.25" customHeight="1" x14ac:dyDescent="0.2">
      <c r="B88" s="86"/>
      <c r="C88" s="56" t="s">
        <v>37</v>
      </c>
      <c r="D88" s="53"/>
    </row>
    <row r="89" spans="2:4" x14ac:dyDescent="0.2">
      <c r="B89" s="86"/>
      <c r="C89" s="56"/>
    </row>
    <row r="90" spans="2:4" ht="25.5" customHeight="1" x14ac:dyDescent="0.2">
      <c r="B90" s="86"/>
      <c r="C90" s="56" t="s">
        <v>54</v>
      </c>
      <c r="D90" s="53"/>
    </row>
    <row r="91" spans="2:4" x14ac:dyDescent="0.2">
      <c r="B91" s="86"/>
      <c r="C91" s="56"/>
    </row>
    <row r="92" spans="2:4" ht="25.5" customHeight="1" x14ac:dyDescent="0.2">
      <c r="B92" s="86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86" t="s">
        <v>50</v>
      </c>
      <c r="C94" s="56" t="s">
        <v>8</v>
      </c>
      <c r="D94" s="53"/>
    </row>
    <row r="95" spans="2:4" x14ac:dyDescent="0.2">
      <c r="B95" s="86"/>
      <c r="C95" s="56"/>
    </row>
    <row r="96" spans="2:4" ht="26.25" customHeight="1" x14ac:dyDescent="0.2">
      <c r="B96" s="86"/>
      <c r="C96" s="56" t="s">
        <v>37</v>
      </c>
      <c r="D96" s="53"/>
    </row>
    <row r="97" spans="2:4" x14ac:dyDescent="0.2">
      <c r="B97" s="86"/>
      <c r="C97" s="56"/>
    </row>
    <row r="98" spans="2:4" ht="25.5" customHeight="1" x14ac:dyDescent="0.2">
      <c r="B98" s="86"/>
      <c r="C98" s="56" t="s">
        <v>54</v>
      </c>
      <c r="D98" s="53"/>
    </row>
    <row r="99" spans="2:4" x14ac:dyDescent="0.2">
      <c r="B99" s="86"/>
      <c r="C99" s="56"/>
    </row>
    <row r="100" spans="2:4" ht="25.5" customHeight="1" x14ac:dyDescent="0.2">
      <c r="B100" s="86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F6" sqref="F6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5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0.75" customWidth="1"/>
    <col min="5" max="5" width="15.7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87" t="s">
        <v>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1"/>
    </row>
    <row r="2" spans="1:14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1"/>
    </row>
    <row r="3" spans="1:14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1"/>
    </row>
    <row r="4" spans="1:14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1"/>
    </row>
    <row r="5" spans="1:14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1"/>
    </row>
    <row r="6" spans="1:14" ht="12.75" customHeight="1" x14ac:dyDescent="0.2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1"/>
    </row>
    <row r="7" spans="1:14" ht="13.5" customHeight="1" x14ac:dyDescent="0.2">
      <c r="A7" s="87"/>
      <c r="B7" s="87"/>
      <c r="C7" s="87"/>
      <c r="D7" s="89" t="s">
        <v>10</v>
      </c>
      <c r="E7" s="90"/>
      <c r="F7" s="90"/>
      <c r="G7" s="91"/>
      <c r="H7" s="59"/>
      <c r="I7" s="59"/>
      <c r="J7" s="88"/>
      <c r="K7" s="87"/>
      <c r="L7" s="87"/>
      <c r="M7" s="87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>IF(C9&gt;43607,130000,105000)</f>
        <v>105000</v>
      </c>
      <c r="L9" s="85" t="e">
        <f>VLOOKUP(B9,'REGISTRO ABONOS'!$B$8:$BC$10009,54,0)</f>
        <v>#N/A</v>
      </c>
      <c r="M9" s="6"/>
    </row>
    <row r="10" spans="1:14" ht="32.25" customHeight="1" x14ac:dyDescent="0.2">
      <c r="A10" s="8"/>
      <c r="B10" s="31">
        <v>1192</v>
      </c>
      <c r="C10" s="30">
        <v>43561</v>
      </c>
      <c r="D10" s="83" t="s">
        <v>73</v>
      </c>
      <c r="E10" s="83" t="s">
        <v>74</v>
      </c>
      <c r="F10" s="83">
        <v>3165615618</v>
      </c>
      <c r="G10" s="83">
        <v>16740212</v>
      </c>
      <c r="H10" s="29" t="s">
        <v>75</v>
      </c>
      <c r="I10" s="29" t="s">
        <v>61</v>
      </c>
      <c r="J10" s="83" t="s">
        <v>65</v>
      </c>
      <c r="K10" s="84">
        <f>IF(C10&gt;43607,130000,105000)</f>
        <v>105000</v>
      </c>
      <c r="L10" s="85">
        <f>VLOOKUP(B10,'REGISTRO ABONOS'!$B$8:$BC$10009,54,0)</f>
        <v>0</v>
      </c>
      <c r="M10" s="6"/>
    </row>
    <row r="11" spans="1:14" ht="32.25" customHeight="1" x14ac:dyDescent="0.2">
      <c r="A11" s="8"/>
      <c r="B11" s="31">
        <v>1936</v>
      </c>
      <c r="C11" s="30">
        <v>43556</v>
      </c>
      <c r="D11" s="83" t="s">
        <v>63</v>
      </c>
      <c r="E11" s="83" t="s">
        <v>64</v>
      </c>
      <c r="F11" s="83">
        <v>3216971073</v>
      </c>
      <c r="G11" s="83">
        <v>29993024</v>
      </c>
      <c r="H11" s="29" t="s">
        <v>60</v>
      </c>
      <c r="I11" s="29" t="s">
        <v>61</v>
      </c>
      <c r="J11" s="83" t="s">
        <v>65</v>
      </c>
      <c r="K11" s="84">
        <f>IF(C11&gt;43607,130000,105000)</f>
        <v>105000</v>
      </c>
      <c r="L11" s="85">
        <f>VLOOKUP(B11,'REGISTRO ABONOS'!$B$8:$BC$10009,54,0)</f>
        <v>55000</v>
      </c>
      <c r="M11" s="6"/>
    </row>
    <row r="12" spans="1:14" ht="32.25" customHeight="1" x14ac:dyDescent="0.2">
      <c r="A12" s="8"/>
      <c r="B12" s="31">
        <v>1965</v>
      </c>
      <c r="C12" s="30">
        <v>43561</v>
      </c>
      <c r="D12" s="66" t="s">
        <v>68</v>
      </c>
      <c r="E12" s="66" t="s">
        <v>69</v>
      </c>
      <c r="F12" s="66">
        <v>3103585498</v>
      </c>
      <c r="G12" s="66">
        <v>29993464</v>
      </c>
      <c r="H12" s="29" t="s">
        <v>60</v>
      </c>
      <c r="I12" s="29" t="s">
        <v>61</v>
      </c>
      <c r="J12" s="66" t="s">
        <v>65</v>
      </c>
      <c r="K12" s="69">
        <f>IF(C12&gt;43607,130000,105000)</f>
        <v>105000</v>
      </c>
      <c r="L12" s="62">
        <f>VLOOKUP(B12,'REGISTRO ABONOS'!$B$8:$BC$10009,54,0)</f>
        <v>75000</v>
      </c>
      <c r="M12" s="6"/>
    </row>
    <row r="13" spans="1:14" x14ac:dyDescent="0.2">
      <c r="B13"/>
      <c r="C13"/>
    </row>
    <row r="14" spans="1:14" x14ac:dyDescent="0.2">
      <c r="B14"/>
      <c r="C14"/>
    </row>
    <row r="15" spans="1:14" x14ac:dyDescent="0.2">
      <c r="B15"/>
      <c r="C15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12"/>
  <sheetViews>
    <sheetView workbookViewId="0">
      <selection activeCell="A6" sqref="A6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87" t="s">
        <v>12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</row>
    <row r="2" spans="1:57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</row>
    <row r="3" spans="1:57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</row>
    <row r="4" spans="1:57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</row>
    <row r="5" spans="1:57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</row>
    <row r="6" spans="1:57" ht="39.75" customHeight="1" x14ac:dyDescent="0.2">
      <c r="A6" s="3"/>
      <c r="B6" s="3"/>
      <c r="C6" s="3"/>
      <c r="D6" s="3"/>
      <c r="E6" s="3"/>
      <c r="F6" s="3"/>
      <c r="G6" s="92" t="s">
        <v>51</v>
      </c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63"/>
      <c r="BD6" s="63"/>
      <c r="BE6" s="2"/>
    </row>
    <row r="7" spans="1:57" ht="26.25" customHeight="1" x14ac:dyDescent="0.2">
      <c r="A7" s="3"/>
      <c r="B7" s="93" t="s">
        <v>10</v>
      </c>
      <c r="C7" s="94"/>
      <c r="D7" s="94"/>
      <c r="E7" s="94"/>
      <c r="F7" s="94"/>
      <c r="G7" s="95" t="s">
        <v>39</v>
      </c>
      <c r="H7" s="95"/>
      <c r="I7" s="95"/>
      <c r="J7" s="96"/>
      <c r="K7" s="95" t="s">
        <v>40</v>
      </c>
      <c r="L7" s="95"/>
      <c r="M7" s="95"/>
      <c r="N7" s="96"/>
      <c r="O7" s="95" t="s">
        <v>41</v>
      </c>
      <c r="P7" s="95"/>
      <c r="Q7" s="95"/>
      <c r="R7" s="96"/>
      <c r="S7" s="95" t="s">
        <v>42</v>
      </c>
      <c r="T7" s="95"/>
      <c r="U7" s="95"/>
      <c r="V7" s="96"/>
      <c r="W7" s="95" t="s">
        <v>43</v>
      </c>
      <c r="X7" s="95"/>
      <c r="Y7" s="95"/>
      <c r="Z7" s="96"/>
      <c r="AA7" s="95" t="s">
        <v>44</v>
      </c>
      <c r="AB7" s="95"/>
      <c r="AC7" s="95"/>
      <c r="AD7" s="96"/>
      <c r="AE7" s="95" t="s">
        <v>45</v>
      </c>
      <c r="AF7" s="95"/>
      <c r="AG7" s="95"/>
      <c r="AH7" s="96"/>
      <c r="AI7" s="95" t="s">
        <v>46</v>
      </c>
      <c r="AJ7" s="95"/>
      <c r="AK7" s="95"/>
      <c r="AL7" s="96"/>
      <c r="AM7" s="95" t="s">
        <v>47</v>
      </c>
      <c r="AN7" s="95"/>
      <c r="AO7" s="95"/>
      <c r="AP7" s="96"/>
      <c r="AQ7" s="95" t="s">
        <v>48</v>
      </c>
      <c r="AR7" s="95"/>
      <c r="AS7" s="95"/>
      <c r="AT7" s="96"/>
      <c r="AU7" s="95" t="s">
        <v>49</v>
      </c>
      <c r="AV7" s="95"/>
      <c r="AW7" s="95"/>
      <c r="AX7" s="96"/>
      <c r="AY7" s="95" t="s">
        <v>50</v>
      </c>
      <c r="AZ7" s="95"/>
      <c r="BA7" s="95"/>
      <c r="BB7" s="96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BONOS'!$B$8:$L$10053,2,0)</f>
        <v>#N/A</v>
      </c>
      <c r="D9" s="64" t="e">
        <f>VLOOKUP(B9,' BONOS'!$B$8:$L$10053,3,0)</f>
        <v>#N/A</v>
      </c>
      <c r="E9" s="64" t="e">
        <f>VLOOKUP(B9,' BONOS'!$B$8:$J$10053,9,0)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1192</v>
      </c>
      <c r="C10" s="65">
        <f>VLOOKUP(B10,' BONOS'!$B$8:$L$10053,2,0)</f>
        <v>43561</v>
      </c>
      <c r="D10" s="64" t="str">
        <f>VLOOKUP(B10,' BONOS'!$B$8:$L$10053,3,0)</f>
        <v>GUSTAVO ADOLFO RODRIGUEZ</v>
      </c>
      <c r="E10" s="64" t="str">
        <f>VLOOKUP(B10,' BONOS'!$B$8:$J$10053,9,0)</f>
        <v>PAOLA ANDREA BERMUDEZ CARVAJAL</v>
      </c>
      <c r="F10" s="13">
        <f>IF(C10&gt;43607,130000,105000)</f>
        <v>105000</v>
      </c>
      <c r="G10" s="25">
        <v>43561</v>
      </c>
      <c r="H10" s="73">
        <v>105000</v>
      </c>
      <c r="I10" s="73" t="s">
        <v>70</v>
      </c>
      <c r="J10" s="78">
        <v>2152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0</v>
      </c>
      <c r="BD10" s="12">
        <f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>
        <v>1936</v>
      </c>
      <c r="C11" s="65">
        <f>VLOOKUP(B11,' BONOS'!$B$8:$L$10053,2,0)</f>
        <v>43556</v>
      </c>
      <c r="D11" s="64" t="str">
        <f>VLOOKUP(B11,' BONOS'!$B$8:$L$10053,3,0)</f>
        <v>MERY FRANCO</v>
      </c>
      <c r="E11" s="64" t="str">
        <f>VLOOKUP(B11,' BONOS'!$B$8:$J$10053,9,0)</f>
        <v>PAOLA ANDREA BERMUDEZ CARVAJAL</v>
      </c>
      <c r="F11" s="13">
        <f>IF(C11&gt;43607,130000,105000)</f>
        <v>105000</v>
      </c>
      <c r="G11" s="25">
        <v>43560</v>
      </c>
      <c r="H11" s="73">
        <v>50000</v>
      </c>
      <c r="I11" s="73"/>
      <c r="J11" s="78">
        <v>2151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>BD11-H11-L11-P11-T11-X11-AB11-AF11-AJ11-AN11-AR11-AV11-AZ11</f>
        <v>55000</v>
      </c>
      <c r="BD11" s="12">
        <f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1965</v>
      </c>
      <c r="C12" s="65">
        <f>VLOOKUP(B12,' BONOS'!$B$8:$L$10053,2,0)</f>
        <v>43561</v>
      </c>
      <c r="D12" s="64" t="str">
        <f>VLOOKUP(B12,' BONOS'!$B$8:$L$10053,3,0)</f>
        <v>ALBA LUCIA GUERRA</v>
      </c>
      <c r="E12" s="64" t="str">
        <f>VLOOKUP(B12,' BONOS'!$B$8:$J$10053,9,0)</f>
        <v>PAOLA ANDREA BERMUDEZ CARVAJAL</v>
      </c>
      <c r="F12" s="13">
        <f>IF(C12&gt;43607,130000,105000)</f>
        <v>105000</v>
      </c>
      <c r="G12" s="25">
        <v>43561</v>
      </c>
      <c r="H12" s="73">
        <v>30000</v>
      </c>
      <c r="I12" s="73" t="s">
        <v>70</v>
      </c>
      <c r="J12" s="78">
        <v>2153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>BD12-H12-L12-P12-T12-X12-AB12-AF12-AJ12-AN12-AR12-AV12-AZ12</f>
        <v>75000</v>
      </c>
      <c r="BD12" s="12">
        <f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</sheetData>
  <autoFilter ref="B8:BC12">
    <sortState ref="B9:BC11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2"/>
  <sheetViews>
    <sheetView tabSelected="1" zoomScaleNormal="100" workbookViewId="0">
      <selection activeCell="D12" sqref="D12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87" t="s">
        <v>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2"/>
      <c r="S1" s="2"/>
    </row>
    <row r="2" spans="1:19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2"/>
      <c r="S2" s="2"/>
    </row>
    <row r="3" spans="1:19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2"/>
      <c r="S3" s="2"/>
    </row>
    <row r="4" spans="1:19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2"/>
      <c r="S4" s="2"/>
    </row>
    <row r="5" spans="1:19" ht="12.75" customHeight="1" x14ac:dyDescent="0.2">
      <c r="A5" s="3"/>
      <c r="B5" s="5"/>
      <c r="C5" s="80"/>
      <c r="D5" s="99" t="s">
        <v>17</v>
      </c>
      <c r="E5" s="99"/>
      <c r="F5" s="100"/>
      <c r="G5" s="100"/>
      <c r="H5" s="100"/>
      <c r="I5" s="100"/>
      <c r="J5" s="100"/>
      <c r="K5" s="100"/>
      <c r="L5" s="7"/>
      <c r="M5" s="5"/>
      <c r="N5" s="101" t="s">
        <v>31</v>
      </c>
      <c r="O5" s="101"/>
      <c r="P5" s="101"/>
      <c r="Q5" s="101"/>
      <c r="R5" s="101"/>
      <c r="S5" s="2"/>
    </row>
    <row r="6" spans="1:19" ht="12.75" customHeight="1" x14ac:dyDescent="0.2">
      <c r="A6" s="3"/>
      <c r="B6" s="5"/>
      <c r="C6" s="80"/>
      <c r="D6" s="100"/>
      <c r="E6" s="100"/>
      <c r="F6" s="100"/>
      <c r="G6" s="100"/>
      <c r="H6" s="100"/>
      <c r="I6" s="100"/>
      <c r="J6" s="100"/>
      <c r="K6" s="100"/>
      <c r="L6" s="7"/>
      <c r="M6" s="5"/>
      <c r="N6" s="101"/>
      <c r="O6" s="101"/>
      <c r="P6" s="101"/>
      <c r="Q6" s="101"/>
      <c r="R6" s="101"/>
      <c r="S6" s="2"/>
    </row>
    <row r="7" spans="1:19" ht="32.25" x14ac:dyDescent="0.2">
      <c r="A7" s="3"/>
      <c r="B7" s="5"/>
      <c r="C7" s="80"/>
      <c r="D7" s="97" t="s">
        <v>10</v>
      </c>
      <c r="E7" s="98"/>
      <c r="F7" s="98"/>
      <c r="G7" s="98"/>
      <c r="H7" s="98"/>
      <c r="I7" s="98"/>
      <c r="J7" s="98"/>
      <c r="K7" s="98"/>
      <c r="L7" s="4"/>
      <c r="M7" s="5"/>
      <c r="N7" s="102"/>
      <c r="O7" s="102"/>
      <c r="P7" s="102"/>
      <c r="Q7" s="102"/>
      <c r="R7" s="102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customHeight="1" x14ac:dyDescent="0.2">
      <c r="A10" s="8"/>
      <c r="B10" s="57">
        <v>1192</v>
      </c>
      <c r="C10" s="81">
        <v>43561</v>
      </c>
      <c r="D10" s="9" t="s">
        <v>65</v>
      </c>
      <c r="E10" s="9" t="s">
        <v>76</v>
      </c>
      <c r="F10" s="9" t="s">
        <v>77</v>
      </c>
      <c r="G10" s="9">
        <v>3117137134</v>
      </c>
      <c r="H10" s="9">
        <v>66682736</v>
      </c>
      <c r="I10" s="9" t="s">
        <v>60</v>
      </c>
      <c r="J10" s="9" t="s">
        <v>61</v>
      </c>
      <c r="K10" s="9" t="s">
        <v>70</v>
      </c>
      <c r="L10" s="38" t="s">
        <v>70</v>
      </c>
      <c r="M10" s="35">
        <f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customHeight="1" x14ac:dyDescent="0.2">
      <c r="A11" s="8"/>
      <c r="B11" s="57">
        <v>1965</v>
      </c>
      <c r="C11" s="81">
        <v>43561</v>
      </c>
      <c r="D11" s="9" t="s">
        <v>65</v>
      </c>
      <c r="E11" s="9" t="s">
        <v>68</v>
      </c>
      <c r="F11" s="9" t="s">
        <v>71</v>
      </c>
      <c r="G11" s="9">
        <v>3117137134</v>
      </c>
      <c r="H11" s="9">
        <v>66682736</v>
      </c>
      <c r="I11" s="9" t="s">
        <v>60</v>
      </c>
      <c r="J11" s="9" t="s">
        <v>61</v>
      </c>
      <c r="K11" s="9" t="s">
        <v>70</v>
      </c>
      <c r="L11" s="38" t="s">
        <v>70</v>
      </c>
      <c r="M11" s="35">
        <f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x14ac:dyDescent="0.2">
      <c r="B12" s="106"/>
      <c r="C12" s="107"/>
      <c r="D12" s="108"/>
      <c r="E12" s="108"/>
      <c r="F12" s="108"/>
      <c r="G12" s="108"/>
      <c r="H12" s="108"/>
      <c r="I12" s="109"/>
      <c r="J12" s="109"/>
      <c r="K12" s="108"/>
      <c r="L12" s="110"/>
      <c r="M12" s="111">
        <f>IF(C12&gt;43607,130000,105000)</f>
        <v>105000</v>
      </c>
      <c r="N12" s="111">
        <f ca="1">Tabla1[[#This Row],[VALOR RESTANTE]:[TOTAL]]=VLOOKUP(B12,#REF!,30,0)</f>
        <v>0</v>
      </c>
      <c r="O12" s="112">
        <f ca="1">IF(Tabla1[VALOR RESTANTE]&gt;0,0,IF(C12&gt;43607,40000,35000))</f>
        <v>0</v>
      </c>
      <c r="P12" s="112" t="e">
        <f>IF(Tabla1[NOMBRE VENDEDOR]=#REF!,COUNTIF(#REF!,(Tabla1[NOMBRE VENDEDOR]=#REF!)=0),0)</f>
        <v>#REF!</v>
      </c>
      <c r="Q12" s="11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2" s="11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"/>
  <sheetViews>
    <sheetView zoomScaleNormal="100" workbookViewId="0">
      <selection activeCell="K8" sqref="K8"/>
    </sheetView>
  </sheetViews>
  <sheetFormatPr baseColWidth="10" defaultRowHeight="12.75" x14ac:dyDescent="0.2"/>
  <cols>
    <col min="2" max="2" width="11" style="55" customWidth="1"/>
    <col min="3" max="3" width="11.875" customWidth="1"/>
    <col min="4" max="4" width="27.625" customWidth="1"/>
    <col min="5" max="5" width="28" customWidth="1"/>
    <col min="6" max="8" width="15.5" customWidth="1"/>
    <col min="9" max="9" width="27.25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87" t="s">
        <v>26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2"/>
      <c r="U1" s="2"/>
    </row>
    <row r="2" spans="1:21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2"/>
      <c r="U2" s="2"/>
    </row>
    <row r="3" spans="1:21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2"/>
      <c r="U3" s="2"/>
    </row>
    <row r="4" spans="1:21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2"/>
      <c r="U4" s="2"/>
    </row>
    <row r="5" spans="1:21" ht="12.75" customHeight="1" x14ac:dyDescent="0.2">
      <c r="A5" s="100"/>
      <c r="B5" s="100"/>
      <c r="C5" s="100"/>
      <c r="D5" s="99" t="s">
        <v>17</v>
      </c>
      <c r="E5" s="99"/>
      <c r="F5" s="100"/>
      <c r="G5" s="100"/>
      <c r="H5" s="100"/>
      <c r="I5" s="100"/>
      <c r="J5" s="100"/>
      <c r="K5" s="100"/>
      <c r="L5" s="22"/>
      <c r="M5" s="100"/>
      <c r="N5" s="100"/>
      <c r="O5" s="100"/>
      <c r="P5" s="100"/>
      <c r="Q5" s="100"/>
      <c r="R5" s="22"/>
      <c r="S5" s="3"/>
      <c r="T5" s="2"/>
      <c r="U5" s="2"/>
    </row>
    <row r="6" spans="1:21" ht="12.75" customHeight="1" x14ac:dyDescent="0.2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22"/>
      <c r="M6" s="100"/>
      <c r="N6" s="100"/>
      <c r="O6" s="100"/>
      <c r="P6" s="100"/>
      <c r="Q6" s="100"/>
      <c r="R6" s="22"/>
      <c r="S6" s="3"/>
      <c r="T6" s="2"/>
      <c r="U6" s="2"/>
    </row>
    <row r="7" spans="1:21" ht="32.25" x14ac:dyDescent="0.2">
      <c r="A7" s="100"/>
      <c r="B7" s="100"/>
      <c r="C7" s="100"/>
      <c r="D7" s="97" t="s">
        <v>10</v>
      </c>
      <c r="E7" s="98"/>
      <c r="F7" s="98"/>
      <c r="G7" s="98"/>
      <c r="H7" s="98"/>
      <c r="I7" s="98"/>
      <c r="J7" s="98"/>
      <c r="K7" s="98"/>
      <c r="L7" s="21"/>
      <c r="M7" s="100"/>
      <c r="N7" s="100"/>
      <c r="O7" s="100"/>
      <c r="P7" s="100"/>
      <c r="Q7" s="100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24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23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ABONOS'!$B$8:$BC$10009,30,0)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T9" sqref="T9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2"/>
    </row>
    <row r="2" spans="1:20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2"/>
    </row>
    <row r="3" spans="1:20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2"/>
    </row>
    <row r="4" spans="1:20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2"/>
    </row>
    <row r="5" spans="1:20" ht="12.75" customHeight="1" x14ac:dyDescent="0.2">
      <c r="A5" s="3"/>
      <c r="B5" s="5"/>
      <c r="C5" s="5"/>
      <c r="D5" s="99" t="s">
        <v>17</v>
      </c>
      <c r="E5" s="99"/>
      <c r="F5" s="99"/>
      <c r="G5" s="99"/>
      <c r="H5" s="99"/>
      <c r="I5" s="99"/>
      <c r="J5" s="99"/>
      <c r="K5" s="99"/>
      <c r="L5" s="22"/>
      <c r="M5" s="100"/>
      <c r="N5" s="100"/>
      <c r="O5" s="100"/>
      <c r="P5" s="100"/>
      <c r="Q5" s="100"/>
      <c r="R5" s="22"/>
      <c r="S5" s="3"/>
      <c r="T5" s="2"/>
    </row>
    <row r="6" spans="1:20" ht="12.75" customHeight="1" x14ac:dyDescent="0.2">
      <c r="A6" s="3"/>
      <c r="B6" s="5"/>
      <c r="C6" s="5"/>
      <c r="D6" s="99"/>
      <c r="E6" s="99"/>
      <c r="F6" s="99"/>
      <c r="G6" s="99"/>
      <c r="H6" s="99"/>
      <c r="I6" s="99"/>
      <c r="J6" s="99"/>
      <c r="K6" s="99"/>
      <c r="L6" s="22"/>
      <c r="M6" s="100"/>
      <c r="N6" s="100"/>
      <c r="O6" s="100"/>
      <c r="P6" s="100"/>
      <c r="Q6" s="100"/>
      <c r="R6" s="22"/>
      <c r="S6" s="3"/>
      <c r="T6" s="2"/>
    </row>
    <row r="7" spans="1:20" ht="32.25" x14ac:dyDescent="0.2">
      <c r="A7" s="3"/>
      <c r="B7" s="5"/>
      <c r="C7" s="5"/>
      <c r="D7" s="104" t="s">
        <v>10</v>
      </c>
      <c r="E7" s="105"/>
      <c r="F7" s="105"/>
      <c r="G7" s="105"/>
      <c r="H7" s="105"/>
      <c r="I7" s="105"/>
      <c r="J7" s="105"/>
      <c r="K7" s="105"/>
      <c r="L7" s="21"/>
      <c r="M7" s="103"/>
      <c r="N7" s="103"/>
      <c r="O7" s="103"/>
      <c r="P7" s="103"/>
      <c r="Q7" s="103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ABONOS'!$B$8:$BC$10009,30,0)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08"/>
  <sheetViews>
    <sheetView zoomScale="95" zoomScaleNormal="95" workbookViewId="0">
      <selection activeCell="B8" sqref="B8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22" customWidth="1"/>
    <col min="5" max="5" width="16.875" bestFit="1" customWidth="1"/>
    <col min="6" max="6" width="12.25" customWidth="1"/>
    <col min="7" max="7" width="14.5" customWidth="1"/>
    <col min="8" max="8" width="33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87" t="s">
        <v>32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1:14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14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</row>
    <row r="4" spans="1:14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</row>
    <row r="5" spans="1:14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1:14" ht="12.75" customHeight="1" x14ac:dyDescent="0.2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1:14" ht="13.5" customHeight="1" thickBot="1" x14ac:dyDescent="0.25">
      <c r="A7" s="87"/>
      <c r="B7" s="87"/>
      <c r="C7" s="87"/>
      <c r="D7" s="89" t="s">
        <v>10</v>
      </c>
      <c r="E7" s="90"/>
      <c r="F7" s="90"/>
      <c r="G7" s="90"/>
      <c r="H7" s="90"/>
      <c r="I7" s="90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ABONOS'!$B$8:$BC$10012,54,0)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ABONOS'!$B$8:$BC$10012,54,0)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ABONOS'!$B$8:$BC$10012,54,0)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ABONOS'!$B$8:$BC$10012,54,0)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1"/>
        <v>105000</v>
      </c>
      <c r="K13" t="e">
        <f>VLOOKUP(B13,'REGISTRO ABONOS'!$B$8:$BC$10012,54,0)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1"/>
        <v>105000</v>
      </c>
      <c r="K14" t="e">
        <f>VLOOKUP(B14,'REGISTRO ABONOS'!$B$8:$BC$10012,54,0)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1"/>
        <v>105000</v>
      </c>
      <c r="K15" t="e">
        <f>VLOOKUP(B15,'REGISTRO ABONOS'!$B$8:$BC$10012,54,0)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1"/>
        <v>105000</v>
      </c>
      <c r="K16" t="e">
        <f>VLOOKUP(B16,'REGISTRO ABONOS'!$B$8:$BC$10012,54,0)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1"/>
        <v>105000</v>
      </c>
      <c r="K17" t="e">
        <f>VLOOKUP(B17,'REGISTRO ABONOS'!$B$8:$BC$10012,54,0)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1"/>
        <v>105000</v>
      </c>
      <c r="K18" t="e">
        <f>VLOOKUP(B18,'REGISTRO ABONOS'!$B$8:$BC$10012,54,0)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1"/>
        <v>105000</v>
      </c>
      <c r="K19" t="e">
        <f>VLOOKUP(B19,'REGISTRO ABONOS'!$B$8:$BC$10012,54,0)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1"/>
        <v>105000</v>
      </c>
      <c r="K20" t="e">
        <f>VLOOKUP(B20,'REGISTRO ABONOS'!$B$8:$BC$10012,54,0)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1"/>
        <v>105000</v>
      </c>
      <c r="K21" t="e">
        <f>VLOOKUP(B21,'REGISTRO ABONOS'!$B$8:$BC$10012,54,0)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1"/>
        <v>105000</v>
      </c>
      <c r="K22" t="e">
        <f>VLOOKUP(B22,'REGISTRO ABONOS'!$B$8:$BC$10012,54,0)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1"/>
        <v>105000</v>
      </c>
      <c r="K23" t="e">
        <f>VLOOKUP(B23,'REGISTRO ABONOS'!$B$8:$BC$10012,54,0)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1"/>
        <v>105000</v>
      </c>
      <c r="K24" t="e">
        <f>VLOOKUP(B24,'REGISTRO ABONOS'!$B$8:$BC$10012,54,0)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1"/>
        <v>105000</v>
      </c>
      <c r="K25" t="e">
        <f>VLOOKUP(B25,'REGISTRO ABONOS'!$B$8:$BC$10012,54,0)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1"/>
        <v>105000</v>
      </c>
      <c r="K26" t="e">
        <f>VLOOKUP(B26,'REGISTRO ABONOS'!$B$8:$BC$10012,54,0)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1"/>
        <v>105000</v>
      </c>
      <c r="K27" t="e">
        <f>VLOOKUP(B27,'REGISTRO ABONOS'!$B$8:$BC$10012,54,0)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1"/>
        <v>105000</v>
      </c>
      <c r="K28" t="e">
        <f>VLOOKUP(B28,'REGISTRO ABONOS'!$B$8:$BC$10012,54,0)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1"/>
        <v>105000</v>
      </c>
      <c r="K29" t="e">
        <f>VLOOKUP(B29,'REGISTRO ABONOS'!$B$8:$BC$10012,54,0)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1"/>
        <v>105000</v>
      </c>
      <c r="K30" t="e">
        <f>VLOOKUP(B30,'REGISTRO ABONOS'!$B$8:$BC$10012,54,0)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1"/>
        <v>105000</v>
      </c>
      <c r="K31" t="e">
        <f>VLOOKUP(B31,'REGISTRO ABONOS'!$B$8:$BC$10012,54,0)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1"/>
        <v>105000</v>
      </c>
      <c r="K32" t="e">
        <f>VLOOKUP(B32,'REGISTRO ABONOS'!$B$8:$BC$10012,54,0)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1"/>
        <v>105000</v>
      </c>
      <c r="K33" t="e">
        <f>VLOOKUP(B33,'REGISTRO ABONOS'!$B$8:$BC$10012,54,0)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1"/>
        <v>105000</v>
      </c>
      <c r="K34" t="e">
        <f>VLOOKUP(B34,'REGISTRO ABONOS'!$B$8:$BC$10012,54,0)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1"/>
        <v>105000</v>
      </c>
      <c r="K35" t="e">
        <f>VLOOKUP(B35,'REGISTRO ABONOS'!$B$8:$BC$10012,54,0)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1"/>
        <v>105000</v>
      </c>
      <c r="K36" t="e">
        <f>VLOOKUP(B36,'REGISTRO ABONOS'!$B$8:$BC$10012,54,0)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1"/>
        <v>105000</v>
      </c>
      <c r="K37" t="e">
        <f>VLOOKUP(B37,'REGISTRO ABONOS'!$B$8:$BC$10012,54,0)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1"/>
        <v>105000</v>
      </c>
      <c r="K38" t="e">
        <f>VLOOKUP(B38,'REGISTRO ABONOS'!$B$8:$BC$10012,54,0)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1"/>
        <v>105000</v>
      </c>
      <c r="K39" t="e">
        <f>VLOOKUP(B39,'REGISTRO ABONOS'!$B$8:$BC$10012,54,0)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1"/>
        <v>105000</v>
      </c>
      <c r="K40" t="e">
        <f>VLOOKUP(B40,'REGISTRO ABONOS'!$B$8:$BC$10012,54,0)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1"/>
        <v>105000</v>
      </c>
      <c r="K41" t="e">
        <f>VLOOKUP(B41,'REGISTRO ABONOS'!$B$8:$BC$10012,54,0)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1"/>
        <v>105000</v>
      </c>
      <c r="K42" t="e">
        <f>VLOOKUP(B42,'REGISTRO ABONOS'!$B$8:$BC$10012,54,0)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1"/>
        <v>105000</v>
      </c>
      <c r="K43" t="e">
        <f>VLOOKUP(B43,'REGISTRO ABONOS'!$B$8:$BC$10012,54,0)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1"/>
        <v>105000</v>
      </c>
      <c r="K44" t="e">
        <f>VLOOKUP(B44,'REGISTRO ABONOS'!$B$8:$BC$10012,54,0)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1"/>
        <v>105000</v>
      </c>
      <c r="K45" t="e">
        <f>VLOOKUP(B45,'REGISTRO ABONOS'!$B$8:$BC$10012,54,0)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1"/>
        <v>105000</v>
      </c>
      <c r="K46" t="e">
        <f>VLOOKUP(B46,'REGISTRO ABONOS'!$B$8:$BC$10012,54,0)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1"/>
        <v>105000</v>
      </c>
      <c r="K47" t="e">
        <f>VLOOKUP(B47,'REGISTRO ABONOS'!$B$8:$BC$10012,54,0)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1"/>
        <v>105000</v>
      </c>
      <c r="K48" t="e">
        <f>VLOOKUP(B48,'REGISTRO ABONOS'!$B$8:$BC$10012,54,0)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1"/>
        <v>105000</v>
      </c>
      <c r="K49" t="e">
        <f>VLOOKUP(B49,'REGISTRO ABONOS'!$B$8:$BC$10012,54,0)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1"/>
        <v>105000</v>
      </c>
      <c r="K50" t="e">
        <f>VLOOKUP(B50,'REGISTRO ABONOS'!$B$8:$BC$10012,54,0)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1"/>
        <v>105000</v>
      </c>
      <c r="K51" t="e">
        <f>VLOOKUP(B51,'REGISTRO ABONOS'!$B$8:$BC$10012,54,0)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1"/>
        <v>105000</v>
      </c>
      <c r="K52" t="e">
        <f>VLOOKUP(B52,'REGISTRO ABONOS'!$B$8:$BC$10012,54,0)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1"/>
        <v>105000</v>
      </c>
      <c r="K53" t="e">
        <f>VLOOKUP(B53,'REGISTRO ABONOS'!$B$8:$BC$10012,54,0)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1"/>
        <v>105000</v>
      </c>
      <c r="K54" t="e">
        <f>VLOOKUP(B54,'REGISTRO ABONOS'!$B$8:$BC$10012,54,0)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1"/>
        <v>105000</v>
      </c>
      <c r="K55" t="e">
        <f>VLOOKUP(B55,'REGISTRO ABONOS'!$B$8:$BC$10012,54,0)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1"/>
        <v>105000</v>
      </c>
      <c r="K56" t="e">
        <f>VLOOKUP(B56,'REGISTRO ABONOS'!$B$8:$BC$10012,54,0)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1"/>
        <v>105000</v>
      </c>
      <c r="K57" t="e">
        <f>VLOOKUP(B57,'REGISTRO ABONOS'!$B$8:$BC$10012,54,0)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1"/>
        <v>105000</v>
      </c>
      <c r="K58" t="e">
        <f>VLOOKUP(B58,'REGISTRO ABONOS'!$B$8:$BC$10012,54,0)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1"/>
        <v>105000</v>
      </c>
      <c r="K59" t="e">
        <f>VLOOKUP(B59,'REGISTRO ABONOS'!$B$8:$BC$10012,54,0)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1"/>
        <v>105000</v>
      </c>
      <c r="K60" t="e">
        <f>VLOOKUP(B60,'REGISTRO ABONOS'!$B$8:$BC$10012,54,0)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1"/>
        <v>105000</v>
      </c>
      <c r="K61" t="e">
        <f>VLOOKUP(B61,'REGISTRO ABONOS'!$B$8:$BC$10012,54,0)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1"/>
        <v>105000</v>
      </c>
      <c r="K62" t="e">
        <f>VLOOKUP(B62,'REGISTRO ABONOS'!$B$8:$BC$10012,54,0)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1"/>
        <v>105000</v>
      </c>
      <c r="K63" t="e">
        <f>VLOOKUP(B63,'REGISTRO ABONOS'!$B$8:$BC$10012,54,0)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1"/>
        <v>105000</v>
      </c>
      <c r="K64" t="e">
        <f>VLOOKUP(B64,'REGISTRO ABONOS'!$B$8:$BC$10012,54,0)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1"/>
        <v>105000</v>
      </c>
      <c r="K65" t="e">
        <f>VLOOKUP(B65,'REGISTRO ABONOS'!$B$8:$BC$10012,54,0)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1"/>
        <v>105000</v>
      </c>
      <c r="K66" t="e">
        <f>VLOOKUP(B66,'REGISTRO ABONOS'!$B$8:$BC$10012,54,0)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1"/>
        <v>105000</v>
      </c>
      <c r="K67" t="e">
        <f>VLOOKUP(B67,'REGISTRO ABONOS'!$B$8:$BC$10012,54,0)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1"/>
        <v>105000</v>
      </c>
      <c r="K68" t="e">
        <f>VLOOKUP(B68,'REGISTRO ABONOS'!$B$8:$BC$10012,54,0)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1"/>
        <v>105000</v>
      </c>
      <c r="K69" t="e">
        <f>VLOOKUP(B69,'REGISTRO ABONOS'!$B$8:$BC$10012,54,0)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1"/>
        <v>105000</v>
      </c>
      <c r="K70" t="e">
        <f>VLOOKUP(B70,'REGISTRO ABONOS'!$B$8:$BC$10012,54,0)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1"/>
        <v>105000</v>
      </c>
      <c r="K71" t="e">
        <f>VLOOKUP(B71,'REGISTRO ABONOS'!$B$8:$BC$10012,54,0)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1"/>
        <v>105000</v>
      </c>
      <c r="K72" t="e">
        <f>VLOOKUP(B72,'REGISTRO ABONOS'!$B$8:$BC$10012,54,0)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1"/>
        <v>105000</v>
      </c>
      <c r="K73" t="e">
        <f>VLOOKUP(B73,'REGISTRO ABONOS'!$B$8:$BC$10012,54,0)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1"/>
        <v>105000</v>
      </c>
      <c r="K74" t="e">
        <f>VLOOKUP(B74,'REGISTRO ABONOS'!$B$8:$BC$10012,54,0)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1"/>
        <v>105000</v>
      </c>
      <c r="K75" t="e">
        <f>VLOOKUP(B75,'REGISTRO ABONOS'!$B$8:$BC$10012,54,0)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ABONOS'!$B$8:$BC$10012,54,0)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2"/>
        <v>105000</v>
      </c>
      <c r="K77" t="e">
        <f>VLOOKUP(B77,'REGISTRO ABONOS'!$B$8:$BC$10012,54,0)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2"/>
        <v>105000</v>
      </c>
      <c r="K78" t="e">
        <f>VLOOKUP(B78,'REGISTRO ABONOS'!$B$8:$BC$10012,54,0)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2"/>
        <v>105000</v>
      </c>
      <c r="K79" t="e">
        <f>VLOOKUP(B79,'REGISTRO ABONOS'!$B$8:$BC$10012,54,0)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2"/>
        <v>105000</v>
      </c>
      <c r="K80" t="e">
        <f>VLOOKUP(B80,'REGISTRO ABONOS'!$B$8:$BC$10012,54,0)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2"/>
        <v>105000</v>
      </c>
      <c r="K81" t="e">
        <f>VLOOKUP(B81,'REGISTRO ABONOS'!$B$8:$BC$10012,54,0)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2"/>
        <v>105000</v>
      </c>
      <c r="K82" t="e">
        <f>VLOOKUP(B82,'REGISTRO ABONOS'!$B$8:$BC$10012,54,0)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2"/>
        <v>105000</v>
      </c>
      <c r="K83" t="e">
        <f>VLOOKUP(B83,'REGISTRO ABONOS'!$B$8:$BC$10012,54,0)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2"/>
        <v>105000</v>
      </c>
      <c r="K84" t="e">
        <f>VLOOKUP(B84,'REGISTRO ABONOS'!$B$8:$BC$10012,54,0)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2"/>
        <v>105000</v>
      </c>
      <c r="K85" t="e">
        <f>VLOOKUP(B85,'REGISTRO ABONOS'!$B$8:$BC$10012,54,0)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2"/>
        <v>105000</v>
      </c>
      <c r="K86" t="e">
        <f>VLOOKUP(B86,'REGISTRO ABONOS'!$B$8:$BC$10012,54,0)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2"/>
        <v>105000</v>
      </c>
      <c r="K87" t="e">
        <f>VLOOKUP(B87,'REGISTRO ABONOS'!$B$8:$BC$10012,54,0)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2"/>
        <v>105000</v>
      </c>
      <c r="K88" t="e">
        <f>VLOOKUP(B88,'REGISTRO ABONOS'!$B$8:$BC$10012,54,0)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2"/>
        <v>105000</v>
      </c>
      <c r="K89" t="e">
        <f>VLOOKUP(B89,'REGISTRO ABONOS'!$B$8:$BC$10012,54,0)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2"/>
        <v>105000</v>
      </c>
      <c r="K90" t="e">
        <f>VLOOKUP(B90,'REGISTRO ABONOS'!$B$8:$BC$10012,54,0)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2"/>
        <v>105000</v>
      </c>
      <c r="K91" t="e">
        <f>VLOOKUP(B91,'REGISTRO ABONOS'!$B$8:$BC$10012,54,0)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2"/>
        <v>105000</v>
      </c>
      <c r="K92" t="e">
        <f>VLOOKUP(B92,'REGISTRO ABONOS'!$B$8:$BC$10012,54,0)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2"/>
        <v>105000</v>
      </c>
      <c r="K93" t="e">
        <f>VLOOKUP(B93,'REGISTRO ABONOS'!$B$8:$BC$10012,54,0)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2"/>
        <v>105000</v>
      </c>
      <c r="K94" t="e">
        <f>VLOOKUP(B94,'REGISTRO ABONOS'!$B$8:$BC$10012,54,0)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2"/>
        <v>105000</v>
      </c>
      <c r="K95" t="e">
        <f>VLOOKUP(B95,'REGISTRO ABONOS'!$B$8:$BC$10012,54,0)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2"/>
        <v>105000</v>
      </c>
      <c r="K96" t="e">
        <f>VLOOKUP(B96,'REGISTRO ABONOS'!$B$8:$BC$10012,54,0)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2"/>
        <v>105000</v>
      </c>
      <c r="K97" t="e">
        <f>VLOOKUP(B97,'REGISTRO ABONOS'!$B$8:$BC$10012,54,0)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2"/>
        <v>105000</v>
      </c>
      <c r="K98" t="e">
        <f>VLOOKUP(B98,'REGISTRO ABONOS'!$B$8:$BC$10012,54,0)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2"/>
        <v>105000</v>
      </c>
      <c r="K99" t="e">
        <f>VLOOKUP(B99,'REGISTRO ABONOS'!$B$8:$BC$10012,54,0)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2"/>
        <v>105000</v>
      </c>
      <c r="K100" t="e">
        <f>VLOOKUP(B100,'REGISTRO ABONOS'!$B$8:$BC$10012,54,0)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2"/>
        <v>105000</v>
      </c>
      <c r="K101" t="e">
        <f>VLOOKUP(B101,'REGISTRO ABONOS'!$B$8:$BC$10012,54,0)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2"/>
        <v>105000</v>
      </c>
      <c r="K102" t="e">
        <f>VLOOKUP(B102,'REGISTRO ABONOS'!$B$8:$BC$10012,54,0)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2"/>
        <v>105000</v>
      </c>
      <c r="K103" t="e">
        <f>VLOOKUP(B103,'REGISTRO ABONOS'!$B$8:$BC$10012,54,0)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2"/>
        <v>105000</v>
      </c>
      <c r="K104" t="e">
        <f>VLOOKUP(B104,'REGISTRO ABONOS'!$B$8:$BC$10012,54,0)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2"/>
        <v>105000</v>
      </c>
      <c r="K105" t="e">
        <f>VLOOKUP(B105,'REGISTRO ABONOS'!$B$8:$BC$10012,54,0)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2"/>
        <v>105000</v>
      </c>
      <c r="K106" t="e">
        <f>VLOOKUP(B106,'REGISTRO ABONOS'!$B$8:$BC$10012,54,0)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2"/>
        <v>105000</v>
      </c>
      <c r="K107" t="e">
        <f>VLOOKUP(B107,'REGISTRO ABONOS'!$B$8:$BC$10012,54,0)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2"/>
        <v>105000</v>
      </c>
      <c r="K108" t="e">
        <f>VLOOKUP(B108,'REGISTRO ABONOS'!$B$8:$BC$10012,54,0)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2"/>
        <v>105000</v>
      </c>
      <c r="K109" t="e">
        <f>VLOOKUP(B109,'REGISTRO ABONOS'!$B$8:$BC$10012,54,0)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2"/>
        <v>105000</v>
      </c>
      <c r="K110" t="e">
        <f>VLOOKUP(B110,'REGISTRO ABONOS'!$B$8:$BC$10012,54,0)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2"/>
        <v>105000</v>
      </c>
      <c r="K111" t="e">
        <f>VLOOKUP(B111,'REGISTRO ABONOS'!$B$8:$BC$10012,54,0)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2"/>
        <v>105000</v>
      </c>
      <c r="K112" t="e">
        <f>VLOOKUP(B112,'REGISTRO ABONOS'!$B$8:$BC$10012,54,0)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2"/>
        <v>105000</v>
      </c>
      <c r="K113" t="e">
        <f>VLOOKUP(B113,'REGISTRO ABONOS'!$B$8:$BC$10012,54,0)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2"/>
        <v>105000</v>
      </c>
      <c r="K114" t="e">
        <f>VLOOKUP(B114,'REGISTRO ABONOS'!$B$8:$BC$10012,54,0)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2"/>
        <v>105000</v>
      </c>
      <c r="K115" t="e">
        <f>VLOOKUP(B115,'REGISTRO ABONOS'!$B$8:$BC$10012,54,0)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2"/>
        <v>105000</v>
      </c>
      <c r="K116" t="e">
        <f>VLOOKUP(B116,'REGISTRO ABONOS'!$B$8:$BC$10012,54,0)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2"/>
        <v>105000</v>
      </c>
      <c r="K117" t="e">
        <f>VLOOKUP(B117,'REGISTRO ABONOS'!$B$8:$BC$10012,54,0)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2"/>
        <v>105000</v>
      </c>
      <c r="K118" t="e">
        <f>VLOOKUP(B118,'REGISTRO ABONOS'!$B$8:$BC$10012,54,0)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2"/>
        <v>105000</v>
      </c>
      <c r="K119" t="e">
        <f>VLOOKUP(B119,'REGISTRO ABONOS'!$B$8:$BC$10012,54,0)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2"/>
        <v>105000</v>
      </c>
      <c r="K120" t="e">
        <f>VLOOKUP(B120,'REGISTRO ABONOS'!$B$8:$BC$10012,54,0)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2"/>
        <v>105000</v>
      </c>
      <c r="K121" t="e">
        <f>VLOOKUP(B121,'REGISTRO ABONOS'!$B$8:$BC$10012,54,0)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2"/>
        <v>105000</v>
      </c>
      <c r="K122" t="e">
        <f>VLOOKUP(B122,'REGISTRO ABONOS'!$B$8:$BC$10012,54,0)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2"/>
        <v>105000</v>
      </c>
      <c r="K123" t="e">
        <f>VLOOKUP(B123,'REGISTRO ABONOS'!$B$8:$BC$10012,54,0)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2"/>
        <v>105000</v>
      </c>
      <c r="K124" t="e">
        <f>VLOOKUP(B124,'REGISTRO ABONOS'!$B$8:$BC$10012,54,0)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2"/>
        <v>105000</v>
      </c>
      <c r="K125" t="e">
        <f>VLOOKUP(B125,'REGISTRO ABONOS'!$B$8:$BC$10012,54,0)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2"/>
        <v>105000</v>
      </c>
      <c r="K126" t="e">
        <f>VLOOKUP(B126,'REGISTRO ABONOS'!$B$8:$BC$10012,54,0)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2"/>
        <v>105000</v>
      </c>
      <c r="K127" t="e">
        <f>VLOOKUP(B127,'REGISTRO ABONOS'!$B$8:$BC$10012,54,0)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2"/>
        <v>105000</v>
      </c>
      <c r="K128" t="e">
        <f>VLOOKUP(B128,'REGISTRO ABONOS'!$B$8:$BC$10012,54,0)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2"/>
        <v>105000</v>
      </c>
      <c r="K129" t="e">
        <f>VLOOKUP(B129,'REGISTRO ABONOS'!$B$8:$BC$10012,54,0)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2"/>
        <v>105000</v>
      </c>
      <c r="K130" t="e">
        <f>VLOOKUP(B130,'REGISTRO ABONOS'!$B$8:$BC$10012,54,0)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2"/>
        <v>105000</v>
      </c>
      <c r="K131" t="e">
        <f>VLOOKUP(B131,'REGISTRO ABONOS'!$B$8:$BC$10012,54,0)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2"/>
        <v>105000</v>
      </c>
      <c r="K132" t="e">
        <f>VLOOKUP(B132,'REGISTRO ABONOS'!$B$8:$BC$10012,54,0)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2"/>
        <v>105000</v>
      </c>
      <c r="K133" t="e">
        <f>VLOOKUP(B133,'REGISTRO ABONOS'!$B$8:$BC$10012,54,0)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2"/>
        <v>105000</v>
      </c>
      <c r="K134" t="e">
        <f>VLOOKUP(B134,'REGISTRO ABONOS'!$B$8:$BC$10012,54,0)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2"/>
        <v>105000</v>
      </c>
      <c r="K135" t="e">
        <f>VLOOKUP(B135,'REGISTRO ABONOS'!$B$8:$BC$10012,54,0)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2"/>
        <v>105000</v>
      </c>
      <c r="K136" t="e">
        <f>VLOOKUP(B136,'REGISTRO ABONOS'!$B$8:$BC$10012,54,0)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2"/>
        <v>105000</v>
      </c>
      <c r="K137" t="e">
        <f>VLOOKUP(B137,'REGISTRO ABONOS'!$B$8:$BC$10012,54,0)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2"/>
        <v>105000</v>
      </c>
      <c r="K138" t="e">
        <f>VLOOKUP(B138,'REGISTRO ABONOS'!$B$8:$BC$10012,54,0)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2"/>
        <v>105000</v>
      </c>
      <c r="K139" t="e">
        <f>VLOOKUP(B139,'REGISTRO ABONOS'!$B$8:$BC$10012,54,0)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ABONOS'!$B$8:$BC$10012,54,0)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3"/>
        <v>105000</v>
      </c>
      <c r="K141" t="e">
        <f>VLOOKUP(B141,'REGISTRO ABONOS'!$B$8:$BC$10012,54,0)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3"/>
        <v>105000</v>
      </c>
      <c r="K142" t="e">
        <f>VLOOKUP(B142,'REGISTRO ABONOS'!$B$8:$BC$10012,54,0)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3"/>
        <v>105000</v>
      </c>
      <c r="K143" t="e">
        <f>VLOOKUP(B143,'REGISTRO ABONOS'!$B$8:$BC$10012,54,0)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3"/>
        <v>105000</v>
      </c>
      <c r="K144" t="e">
        <f>VLOOKUP(B144,'REGISTRO ABONOS'!$B$8:$BC$10012,54,0)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3"/>
        <v>105000</v>
      </c>
      <c r="K145" t="e">
        <f>VLOOKUP(B145,'REGISTRO ABONOS'!$B$8:$BC$10012,54,0)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J146">
        <f t="shared" si="3"/>
        <v>105000</v>
      </c>
      <c r="K146" t="e">
        <f>VLOOKUP(B146,'REGISTRO ABONOS'!$B$8:$BC$10012,54,0)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J147">
        <f t="shared" si="3"/>
        <v>105000</v>
      </c>
      <c r="K147" t="e">
        <f>VLOOKUP(B147,'REGISTRO ABONOS'!$B$8:$BC$10012,54,0)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J148">
        <f t="shared" si="3"/>
        <v>105000</v>
      </c>
      <c r="K148" t="e">
        <f>VLOOKUP(B148,'REGISTRO ABONOS'!$B$8:$BC$10012,54,0)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J149">
        <f t="shared" si="3"/>
        <v>105000</v>
      </c>
      <c r="K149" t="e">
        <f>VLOOKUP(B149,'REGISTRO ABONOS'!$B$8:$BC$10012,54,0)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J150">
        <f t="shared" si="3"/>
        <v>105000</v>
      </c>
      <c r="K150" t="e">
        <f>VLOOKUP(B150,'REGISTRO ABONOS'!$B$8:$BC$10012,54,0)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J151">
        <f t="shared" si="3"/>
        <v>105000</v>
      </c>
      <c r="K151" t="e">
        <f>VLOOKUP(B151,'REGISTRO ABONOS'!$B$8:$BC$10012,54,0)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J152">
        <f t="shared" si="3"/>
        <v>105000</v>
      </c>
      <c r="K152" t="e">
        <f>VLOOKUP(B152,'REGISTRO ABONOS'!$B$8:$BC$10012,54,0)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J153">
        <f t="shared" si="3"/>
        <v>105000</v>
      </c>
      <c r="K153" t="e">
        <f>VLOOKUP(B153,'REGISTRO ABONOS'!$B$8:$BC$10012,54,0)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J154">
        <f t="shared" si="3"/>
        <v>105000</v>
      </c>
      <c r="K154" t="e">
        <f>VLOOKUP(B154,'REGISTRO ABONOS'!$B$8:$BC$10012,54,0)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J155">
        <f t="shared" si="3"/>
        <v>105000</v>
      </c>
      <c r="K155" t="e">
        <f>VLOOKUP(B155,'REGISTRO ABONOS'!$B$8:$BC$10012,54,0)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3"/>
        <v>105000</v>
      </c>
      <c r="K156" t="e">
        <f>VLOOKUP(B156,'REGISTRO ABONOS'!$B$8:$BC$10012,54,0)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3"/>
        <v>105000</v>
      </c>
      <c r="K157" t="e">
        <f>VLOOKUP(B157,'REGISTRO ABONOS'!$B$8:$BC$10012,54,0)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J158">
        <f t="shared" si="3"/>
        <v>105000</v>
      </c>
      <c r="K158" t="e">
        <f>VLOOKUP(B158,'REGISTRO ABONOS'!$B$8:$BC$10012,54,0)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J159">
        <f t="shared" si="3"/>
        <v>105000</v>
      </c>
      <c r="K159" t="e">
        <f>VLOOKUP(B159,'REGISTRO ABONOS'!$B$8:$BC$10012,54,0)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J160">
        <f t="shared" si="3"/>
        <v>105000</v>
      </c>
      <c r="K160" t="e">
        <f>VLOOKUP(B160,'REGISTRO ABONOS'!$B$8:$BC$10012,54,0)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J161">
        <f t="shared" si="3"/>
        <v>105000</v>
      </c>
      <c r="K161" t="e">
        <f>VLOOKUP(B161,'REGISTRO ABONOS'!$B$8:$BC$10012,54,0)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J162">
        <f t="shared" si="3"/>
        <v>105000</v>
      </c>
      <c r="K162" t="e">
        <f>VLOOKUP(B162,'REGISTRO ABONOS'!$B$8:$BC$10012,54,0)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J163">
        <f t="shared" si="3"/>
        <v>105000</v>
      </c>
      <c r="K163" t="e">
        <f>VLOOKUP(B163,'REGISTRO ABONOS'!$B$8:$BC$10012,54,0)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3"/>
        <v>105000</v>
      </c>
      <c r="K164" t="e">
        <f>VLOOKUP(B164,'REGISTRO ABONOS'!$B$8:$BC$10012,54,0)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3"/>
        <v>105000</v>
      </c>
      <c r="K165" t="e">
        <f>VLOOKUP(B165,'REGISTRO ABONOS'!$B$8:$BC$10012,54,0)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3"/>
        <v>105000</v>
      </c>
      <c r="K166" t="e">
        <f>VLOOKUP(B166,'REGISTRO ABONOS'!$B$8:$BC$10012,54,0)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3"/>
        <v>105000</v>
      </c>
      <c r="K167" t="e">
        <f>VLOOKUP(B167,'REGISTRO ABONOS'!$B$8:$BC$10012,54,0)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3"/>
        <v>105000</v>
      </c>
      <c r="K168" t="e">
        <f>VLOOKUP(B168,'REGISTRO ABONOS'!$B$8:$BC$10012,54,0)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3"/>
        <v>105000</v>
      </c>
      <c r="K169" t="e">
        <f>VLOOKUP(B169,'REGISTRO ABONOS'!$B$8:$BC$10012,54,0)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J170">
        <f t="shared" si="3"/>
        <v>105000</v>
      </c>
      <c r="K170" t="e">
        <f>VLOOKUP(B170,'REGISTRO ABONOS'!$B$8:$BC$10012,54,0)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3"/>
        <v>105000</v>
      </c>
      <c r="K171" t="e">
        <f>VLOOKUP(B171,'REGISTRO ABONOS'!$B$8:$BC$10012,54,0)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3"/>
        <v>105000</v>
      </c>
      <c r="K172" t="e">
        <f>VLOOKUP(B172,'REGISTRO ABONOS'!$B$8:$BC$10012,54,0)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3"/>
        <v>105000</v>
      </c>
      <c r="K173" t="e">
        <f>VLOOKUP(B173,'REGISTRO ABONOS'!$B$8:$BC$10012,54,0)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J174">
        <f t="shared" si="3"/>
        <v>105000</v>
      </c>
      <c r="K174" t="e">
        <f>VLOOKUP(B174,'REGISTRO ABONOS'!$B$8:$BC$10012,54,0)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3"/>
        <v>105000</v>
      </c>
      <c r="K175" t="e">
        <f>VLOOKUP(B175,'REGISTRO ABONOS'!$B$8:$BC$10012,54,0)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3"/>
        <v>105000</v>
      </c>
      <c r="K176" t="e">
        <f>VLOOKUP(B176,'REGISTRO ABONOS'!$B$8:$BC$10012,54,0)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3"/>
        <v>105000</v>
      </c>
      <c r="K177" t="e">
        <f>VLOOKUP(B177,'REGISTRO ABONOS'!$B$8:$BC$10012,54,0)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3"/>
        <v>105000</v>
      </c>
      <c r="K178" t="e">
        <f>VLOOKUP(B178,'REGISTRO ABONOS'!$B$8:$BC$10012,54,0)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3"/>
        <v>105000</v>
      </c>
      <c r="K179" t="e">
        <f>VLOOKUP(B179,'REGISTRO ABONOS'!$B$8:$BC$10012,54,0)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J180">
        <f t="shared" si="3"/>
        <v>105000</v>
      </c>
      <c r="K180" t="e">
        <f>VLOOKUP(B180,'REGISTRO ABONOS'!$B$8:$BC$10012,54,0)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J181">
        <f t="shared" si="3"/>
        <v>105000</v>
      </c>
      <c r="K181" t="e">
        <f>VLOOKUP(B181,'REGISTRO ABONOS'!$B$8:$BC$10012,54,0)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3"/>
        <v>105000</v>
      </c>
      <c r="K182" t="e">
        <f>VLOOKUP(B182,'REGISTRO ABONOS'!$B$8:$BC$10012,54,0)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J183">
        <f t="shared" si="3"/>
        <v>105000</v>
      </c>
      <c r="K183" t="e">
        <f>VLOOKUP(B183,'REGISTRO ABONOS'!$B$8:$BC$10012,54,0)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J184">
        <f t="shared" si="3"/>
        <v>105000</v>
      </c>
      <c r="K184" t="e">
        <f>VLOOKUP(B184,'REGISTRO ABONOS'!$B$8:$BC$10012,54,0)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J185">
        <f t="shared" si="3"/>
        <v>105000</v>
      </c>
      <c r="K185" t="e">
        <f>VLOOKUP(B185,'REGISTRO ABONOS'!$B$8:$BC$10012,54,0)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3"/>
        <v>105000</v>
      </c>
      <c r="K186" t="e">
        <f>VLOOKUP(B186,'REGISTRO ABONOS'!$B$8:$BC$10012,54,0)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3"/>
        <v>105000</v>
      </c>
      <c r="K187" t="e">
        <f>VLOOKUP(B187,'REGISTRO ABONOS'!$B$8:$BC$10012,54,0)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3"/>
        <v>105000</v>
      </c>
      <c r="K188" t="e">
        <f>VLOOKUP(B188,'REGISTRO ABONOS'!$B$8:$BC$10012,54,0)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3"/>
        <v>105000</v>
      </c>
      <c r="K189" t="e">
        <f>VLOOKUP(B189,'REGISTRO ABONOS'!$B$8:$BC$10012,54,0)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J190">
        <f t="shared" si="3"/>
        <v>105000</v>
      </c>
      <c r="K190" t="e">
        <f>VLOOKUP(B190,'REGISTRO ABONOS'!$B$8:$BC$10012,54,0)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J191">
        <f t="shared" si="3"/>
        <v>105000</v>
      </c>
      <c r="K191" t="e">
        <f>VLOOKUP(B191,'REGISTRO ABONOS'!$B$8:$BC$10012,54,0)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J192">
        <f t="shared" si="3"/>
        <v>105000</v>
      </c>
      <c r="K192" t="e">
        <f>VLOOKUP(B192,'REGISTRO ABONOS'!$B$8:$BC$10012,54,0)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J193">
        <f t="shared" si="3"/>
        <v>105000</v>
      </c>
      <c r="K193" t="e">
        <f>VLOOKUP(B193,'REGISTRO ABONOS'!$B$8:$BC$10012,54,0)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3"/>
        <v>105000</v>
      </c>
      <c r="K194" t="e">
        <f>VLOOKUP(B194,'REGISTRO ABONOS'!$B$8:$BC$10012,54,0)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J195">
        <f t="shared" si="3"/>
        <v>105000</v>
      </c>
      <c r="K195" t="e">
        <f>VLOOKUP(B195,'REGISTRO ABONOS'!$B$8:$BC$10012,54,0)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3"/>
        <v>105000</v>
      </c>
      <c r="K196" t="e">
        <f>VLOOKUP(B196,'REGISTRO ABONOS'!$B$8:$BC$10012,54,0)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3"/>
        <v>105000</v>
      </c>
      <c r="K197" t="e">
        <f>VLOOKUP(B197,'REGISTRO ABONOS'!$B$8:$BC$10012,54,0)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3"/>
        <v>105000</v>
      </c>
      <c r="K198" t="e">
        <f>VLOOKUP(B198,'REGISTRO ABONOS'!$B$8:$BC$10012,54,0)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3"/>
        <v>105000</v>
      </c>
      <c r="K199" t="e">
        <f>VLOOKUP(B199,'REGISTRO ABONOS'!$B$8:$BC$10012,54,0)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J200">
        <f t="shared" si="3"/>
        <v>105000</v>
      </c>
      <c r="K200" t="e">
        <f>VLOOKUP(B200,'REGISTRO ABONOS'!$B$8:$BC$10012,54,0)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J201">
        <f t="shared" si="3"/>
        <v>105000</v>
      </c>
      <c r="K201" t="e">
        <f>VLOOKUP(B201,'REGISTRO ABONOS'!$B$8:$BC$10012,54,0)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3"/>
        <v>105000</v>
      </c>
      <c r="K202" t="e">
        <f>VLOOKUP(B202,'REGISTRO ABONOS'!$B$8:$BC$10012,54,0)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3"/>
        <v>105000</v>
      </c>
      <c r="K203" t="e">
        <f>VLOOKUP(B203,'REGISTRO ABONOS'!$B$8:$BC$10012,54,0)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ABONOS'!$B$8:$BC$10012,54,0)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J205">
        <f t="shared" si="4"/>
        <v>105000</v>
      </c>
      <c r="K205" t="e">
        <f>VLOOKUP(B205,'REGISTRO ABONOS'!$B$8:$BC$10012,54,0)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J206">
        <f t="shared" si="4"/>
        <v>105000</v>
      </c>
      <c r="K206" t="e">
        <f>VLOOKUP(B206,'REGISTRO ABONOS'!$B$8:$BC$10012,54,0)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J207">
        <f t="shared" si="4"/>
        <v>105000</v>
      </c>
      <c r="K207" t="e">
        <f>VLOOKUP(B207,'REGISTRO ABONOS'!$B$8:$BC$10012,54,0)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4"/>
        <v>105000</v>
      </c>
      <c r="K208" t="e">
        <f>VLOOKUP(B208,'REGISTRO ABONOS'!$B$8:$BC$10012,54,0)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J209">
        <f t="shared" si="4"/>
        <v>105000</v>
      </c>
      <c r="K209" t="e">
        <f>VLOOKUP(B209,'REGISTRO ABONOS'!$B$8:$BC$10012,54,0)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J210">
        <f t="shared" si="4"/>
        <v>105000</v>
      </c>
      <c r="K210" t="e">
        <f>VLOOKUP(B210,'REGISTRO ABONOS'!$B$8:$BC$10012,54,0)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J211">
        <f t="shared" si="4"/>
        <v>105000</v>
      </c>
      <c r="K211" t="e">
        <f>VLOOKUP(B211,'REGISTRO ABONOS'!$B$8:$BC$10012,54,0)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J212">
        <f t="shared" si="4"/>
        <v>105000</v>
      </c>
      <c r="K212" t="e">
        <f>VLOOKUP(B212,'REGISTRO ABONOS'!$B$8:$BC$10012,54,0)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4"/>
        <v>105000</v>
      </c>
      <c r="K213" t="e">
        <f>VLOOKUP(B213,'REGISTRO ABONOS'!$B$8:$BC$10012,54,0)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4"/>
        <v>105000</v>
      </c>
      <c r="K214" t="e">
        <f>VLOOKUP(B214,'REGISTRO ABONOS'!$B$8:$BC$10012,54,0)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J215">
        <f t="shared" si="4"/>
        <v>105000</v>
      </c>
      <c r="K215" t="e">
        <f>VLOOKUP(B215,'REGISTRO ABONOS'!$B$8:$BC$10012,54,0)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4"/>
        <v>105000</v>
      </c>
      <c r="K216" t="e">
        <f>VLOOKUP(B216,'REGISTRO ABONOS'!$B$8:$BC$10012,54,0)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4"/>
        <v>105000</v>
      </c>
      <c r="K217" t="e">
        <f>VLOOKUP(B217,'REGISTRO ABONOS'!$B$8:$BC$10012,54,0)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4"/>
        <v>105000</v>
      </c>
      <c r="K218" t="e">
        <f>VLOOKUP(B218,'REGISTRO ABONOS'!$B$8:$BC$10012,54,0)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J219">
        <f t="shared" si="4"/>
        <v>105000</v>
      </c>
      <c r="K219" t="e">
        <f>VLOOKUP(B219,'REGISTRO ABONOS'!$B$8:$BC$10012,54,0)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4"/>
        <v>105000</v>
      </c>
      <c r="K220" t="e">
        <f>VLOOKUP(B220,'REGISTRO ABONOS'!$B$8:$BC$10012,54,0)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4"/>
        <v>105000</v>
      </c>
      <c r="K221" t="e">
        <f>VLOOKUP(B221,'REGISTRO ABONOS'!$B$8:$BC$10012,54,0)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J222">
        <f t="shared" si="4"/>
        <v>105000</v>
      </c>
      <c r="K222" t="e">
        <f>VLOOKUP(B222,'REGISTRO ABONOS'!$B$8:$BC$10012,54,0)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4"/>
        <v>105000</v>
      </c>
      <c r="K223" t="e">
        <f>VLOOKUP(B223,'REGISTRO ABONOS'!$B$8:$BC$10012,54,0)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4"/>
        <v>105000</v>
      </c>
      <c r="K224" t="e">
        <f>VLOOKUP(B224,'REGISTRO ABONOS'!$B$8:$BC$10012,54,0)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J225">
        <f t="shared" si="4"/>
        <v>105000</v>
      </c>
      <c r="K225" t="e">
        <f>VLOOKUP(B225,'REGISTRO ABONOS'!$B$8:$BC$10012,54,0)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4"/>
        <v>105000</v>
      </c>
      <c r="K226" t="e">
        <f>VLOOKUP(B226,'REGISTRO ABONOS'!$B$8:$BC$10012,54,0)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4"/>
        <v>105000</v>
      </c>
      <c r="K227" t="e">
        <f>VLOOKUP(B227,'REGISTRO ABONOS'!$B$8:$BC$10012,54,0)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J228">
        <f t="shared" si="4"/>
        <v>105000</v>
      </c>
      <c r="K228" t="e">
        <f>VLOOKUP(B228,'REGISTRO ABONOS'!$B$8:$BC$10012,54,0)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J229">
        <f t="shared" si="4"/>
        <v>105000</v>
      </c>
      <c r="K229" t="e">
        <f>VLOOKUP(B229,'REGISTRO ABONOS'!$B$8:$BC$10012,54,0)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J230">
        <f t="shared" si="4"/>
        <v>105000</v>
      </c>
      <c r="K230" t="e">
        <f>VLOOKUP(B230,'REGISTRO ABONOS'!$B$8:$BC$10012,54,0)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4"/>
        <v>105000</v>
      </c>
      <c r="K231" t="e">
        <f>VLOOKUP(B231,'REGISTRO ABONOS'!$B$8:$BC$10012,54,0)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J232">
        <f t="shared" si="4"/>
        <v>105000</v>
      </c>
      <c r="K232" t="e">
        <f>VLOOKUP(B232,'REGISTRO ABONOS'!$B$8:$BC$10012,54,0)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4"/>
        <v>105000</v>
      </c>
      <c r="K233" t="e">
        <f>VLOOKUP(B233,'REGISTRO ABONOS'!$B$8:$BC$10012,54,0)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4"/>
        <v>105000</v>
      </c>
      <c r="K234" t="e">
        <f>VLOOKUP(B234,'REGISTRO ABONOS'!$B$8:$BC$10012,54,0)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4"/>
        <v>105000</v>
      </c>
      <c r="K235" t="e">
        <f>VLOOKUP(B235,'REGISTRO ABONOS'!$B$8:$BC$10012,54,0)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J236">
        <f t="shared" si="4"/>
        <v>105000</v>
      </c>
      <c r="K236" t="e">
        <f>VLOOKUP(B236,'REGISTRO ABONOS'!$B$8:$BC$10012,54,0)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J237">
        <f t="shared" si="4"/>
        <v>105000</v>
      </c>
      <c r="K237" t="e">
        <f>VLOOKUP(B237,'REGISTRO ABONOS'!$B$8:$BC$10012,54,0)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J238">
        <f t="shared" si="4"/>
        <v>105000</v>
      </c>
      <c r="K238" t="e">
        <f>VLOOKUP(B238,'REGISTRO ABONOS'!$B$8:$BC$10012,54,0)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4"/>
        <v>105000</v>
      </c>
      <c r="K239" t="e">
        <f>VLOOKUP(B239,'REGISTRO ABONOS'!$B$8:$BC$10012,54,0)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4"/>
        <v>105000</v>
      </c>
      <c r="K240" t="e">
        <f>VLOOKUP(B240,'REGISTRO ABONOS'!$B$8:$BC$10012,54,0)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J241">
        <f t="shared" si="4"/>
        <v>105000</v>
      </c>
      <c r="K241" t="e">
        <f>VLOOKUP(B241,'REGISTRO ABONOS'!$B$8:$BC$10012,54,0)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4"/>
        <v>105000</v>
      </c>
      <c r="K242" t="e">
        <f>VLOOKUP(B242,'REGISTRO ABONOS'!$B$8:$BC$10012,54,0)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4"/>
        <v>105000</v>
      </c>
      <c r="K243" t="e">
        <f>VLOOKUP(B243,'REGISTRO ABONOS'!$B$8:$BC$10012,54,0)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J244">
        <f t="shared" si="4"/>
        <v>105000</v>
      </c>
      <c r="K244" t="e">
        <f>VLOOKUP(B244,'REGISTRO ABONOS'!$B$8:$BC$10012,54,0)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J245">
        <f t="shared" si="4"/>
        <v>105000</v>
      </c>
      <c r="K245" t="e">
        <f>VLOOKUP(B245,'REGISTRO ABONOS'!$B$8:$BC$10012,54,0)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4"/>
        <v>105000</v>
      </c>
      <c r="K246" t="e">
        <f>VLOOKUP(B246,'REGISTRO ABONOS'!$B$8:$BC$10012,54,0)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4"/>
        <v>105000</v>
      </c>
      <c r="K247" t="e">
        <f>VLOOKUP(B247,'REGISTRO ABONOS'!$B$8:$BC$10012,54,0)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4"/>
        <v>105000</v>
      </c>
      <c r="K248" t="e">
        <f>VLOOKUP(B248,'REGISTRO ABONOS'!$B$8:$BC$10012,54,0)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J249">
        <f t="shared" si="4"/>
        <v>105000</v>
      </c>
      <c r="K249" t="e">
        <f>VLOOKUP(B249,'REGISTRO ABONOS'!$B$8:$BC$10012,54,0)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4"/>
        <v>105000</v>
      </c>
      <c r="K250" t="e">
        <f>VLOOKUP(B250,'REGISTRO ABONOS'!$B$8:$BC$10012,54,0)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J251">
        <f t="shared" si="4"/>
        <v>105000</v>
      </c>
      <c r="K251" t="e">
        <f>VLOOKUP(B251,'REGISTRO ABONOS'!$B$8:$BC$10012,54,0)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4"/>
        <v>105000</v>
      </c>
      <c r="K252" t="e">
        <f>VLOOKUP(B252,'REGISTRO ABONOS'!$B$8:$BC$10012,54,0)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4"/>
        <v>105000</v>
      </c>
      <c r="K253" t="e">
        <f>VLOOKUP(B253,'REGISTRO ABONOS'!$B$8:$BC$10012,54,0)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4"/>
        <v>105000</v>
      </c>
      <c r="K254" t="e">
        <f>VLOOKUP(B254,'REGISTRO ABONOS'!$B$8:$BC$10012,54,0)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J255">
        <f t="shared" si="4"/>
        <v>105000</v>
      </c>
      <c r="K255" t="e">
        <f>VLOOKUP(B255,'REGISTRO ABONOS'!$B$8:$BC$10012,54,0)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4"/>
        <v>105000</v>
      </c>
      <c r="K256" t="e">
        <f>VLOOKUP(B256,'REGISTRO ABONOS'!$B$8:$BC$10012,54,0)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4"/>
        <v>105000</v>
      </c>
      <c r="K257" t="e">
        <f>VLOOKUP(B257,'REGISTRO ABONOS'!$B$8:$BC$10012,54,0)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J258">
        <f t="shared" si="4"/>
        <v>105000</v>
      </c>
      <c r="K258" t="e">
        <f>VLOOKUP(B258,'REGISTRO ABONOS'!$B$8:$BC$10012,54,0)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J259">
        <f t="shared" si="4"/>
        <v>105000</v>
      </c>
      <c r="K259" t="e">
        <f>VLOOKUP(B259,'REGISTRO ABONOS'!$B$8:$BC$10012,54,0)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4"/>
        <v>105000</v>
      </c>
      <c r="K260" t="e">
        <f>VLOOKUP(B260,'REGISTRO ABONOS'!$B$8:$BC$10012,54,0)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4"/>
        <v>105000</v>
      </c>
      <c r="K261" t="e">
        <f>VLOOKUP(B261,'REGISTRO ABONOS'!$B$8:$BC$10012,54,0)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4"/>
        <v>105000</v>
      </c>
      <c r="K262" t="e">
        <f>VLOOKUP(B262,'REGISTRO ABONOS'!$B$8:$BC$10012,54,0)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J263">
        <f t="shared" si="4"/>
        <v>105000</v>
      </c>
      <c r="K263" t="e">
        <f>VLOOKUP(B263,'REGISTRO ABONOS'!$B$8:$BC$10012,54,0)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J264">
        <f t="shared" si="4"/>
        <v>105000</v>
      </c>
      <c r="K264" t="e">
        <f>VLOOKUP(B264,'REGISTRO ABONOS'!$B$8:$BC$10012,54,0)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4"/>
        <v>105000</v>
      </c>
      <c r="K265" t="e">
        <f>VLOOKUP(B265,'REGISTRO ABONOS'!$B$8:$BC$10012,54,0)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4"/>
        <v>105000</v>
      </c>
      <c r="K266" t="e">
        <f>VLOOKUP(B266,'REGISTRO ABONOS'!$B$8:$BC$10012,54,0)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4"/>
        <v>105000</v>
      </c>
      <c r="K267" t="e">
        <f>VLOOKUP(B267,'REGISTRO ABONOS'!$B$8:$BC$10012,54,0)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ABONOS'!$B$8:$BC$10012,54,0)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5"/>
        <v>105000</v>
      </c>
      <c r="K269" t="e">
        <f>VLOOKUP(B269,'REGISTRO ABONOS'!$B$8:$BC$10012,54,0)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5"/>
        <v>105000</v>
      </c>
      <c r="K270" t="e">
        <f>VLOOKUP(B270,'REGISTRO ABONOS'!$B$8:$BC$10012,54,0)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5"/>
        <v>105000</v>
      </c>
      <c r="K271" t="e">
        <f>VLOOKUP(B271,'REGISTRO ABONOS'!$B$8:$BC$10012,54,0)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5"/>
        <v>105000</v>
      </c>
      <c r="K272" t="e">
        <f>VLOOKUP(B272,'REGISTRO ABONOS'!$B$8:$BC$10012,54,0)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J273">
        <f t="shared" si="5"/>
        <v>105000</v>
      </c>
      <c r="K273" t="e">
        <f>VLOOKUP(B273,'REGISTRO ABONOS'!$B$8:$BC$10012,54,0)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5"/>
        <v>105000</v>
      </c>
      <c r="K274" t="e">
        <f>VLOOKUP(B274,'REGISTRO ABONOS'!$B$8:$BC$10012,54,0)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5"/>
        <v>105000</v>
      </c>
      <c r="K275" t="e">
        <f>VLOOKUP(B275,'REGISTRO ABONOS'!$B$8:$BC$10012,54,0)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5"/>
        <v>105000</v>
      </c>
      <c r="K276" t="e">
        <f>VLOOKUP(B276,'REGISTRO ABONOS'!$B$8:$BC$10012,54,0)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5"/>
        <v>105000</v>
      </c>
      <c r="K277" t="e">
        <f>VLOOKUP(B277,'REGISTRO ABONOS'!$B$8:$BC$10012,54,0)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5"/>
        <v>105000</v>
      </c>
      <c r="K278" t="e">
        <f>VLOOKUP(B278,'REGISTRO ABONOS'!$B$8:$BC$10012,54,0)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J279">
        <f t="shared" si="5"/>
        <v>105000</v>
      </c>
      <c r="K279" t="e">
        <f>VLOOKUP(B279,'REGISTRO ABONOS'!$B$8:$BC$10012,54,0)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J280">
        <f t="shared" si="5"/>
        <v>105000</v>
      </c>
      <c r="K280" t="e">
        <f>VLOOKUP(B280,'REGISTRO ABONOS'!$B$8:$BC$10012,54,0)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J281">
        <f t="shared" si="5"/>
        <v>105000</v>
      </c>
      <c r="K281" t="e">
        <f>VLOOKUP(B281,'REGISTRO ABONOS'!$B$8:$BC$10012,54,0)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J282">
        <f t="shared" si="5"/>
        <v>105000</v>
      </c>
      <c r="K282" t="e">
        <f>VLOOKUP(B282,'REGISTRO ABONOS'!$B$8:$BC$10012,54,0)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J283">
        <f t="shared" si="5"/>
        <v>105000</v>
      </c>
      <c r="K283" t="e">
        <f>VLOOKUP(B283,'REGISTRO ABONOS'!$B$8:$BC$10012,54,0)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5"/>
        <v>105000</v>
      </c>
      <c r="K284" t="e">
        <f>VLOOKUP(B284,'REGISTRO ABONOS'!$B$8:$BC$10012,54,0)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5"/>
        <v>105000</v>
      </c>
      <c r="K285" t="e">
        <f>VLOOKUP(B285,'REGISTRO ABONOS'!$B$8:$BC$10012,54,0)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5"/>
        <v>105000</v>
      </c>
      <c r="K286" t="e">
        <f>VLOOKUP(B286,'REGISTRO ABONOS'!$B$8:$BC$10012,54,0)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5"/>
        <v>105000</v>
      </c>
      <c r="K287" t="e">
        <f>VLOOKUP(B287,'REGISTRO ABONOS'!$B$8:$BC$10012,54,0)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5"/>
        <v>105000</v>
      </c>
      <c r="K288" t="e">
        <f>VLOOKUP(B288,'REGISTRO ABONOS'!$B$8:$BC$10012,54,0)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5"/>
        <v>105000</v>
      </c>
      <c r="K289" t="e">
        <f>VLOOKUP(B289,'REGISTRO ABONOS'!$B$8:$BC$10012,54,0)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5"/>
        <v>105000</v>
      </c>
      <c r="K290" t="e">
        <f>VLOOKUP(B290,'REGISTRO ABONOS'!$B$8:$BC$10012,54,0)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5"/>
        <v>105000</v>
      </c>
      <c r="K291" t="e">
        <f>VLOOKUP(B291,'REGISTRO ABONOS'!$B$8:$BC$10012,54,0)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J292">
        <f t="shared" si="5"/>
        <v>105000</v>
      </c>
      <c r="K292" t="e">
        <f>VLOOKUP(B292,'REGISTRO ABONOS'!$B$8:$BC$10012,54,0)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5"/>
        <v>105000</v>
      </c>
      <c r="K293" t="e">
        <f>VLOOKUP(B293,'REGISTRO ABONOS'!$B$8:$BC$10012,54,0)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J294">
        <f t="shared" si="5"/>
        <v>105000</v>
      </c>
      <c r="K294" t="e">
        <f>VLOOKUP(B294,'REGISTRO ABONOS'!$B$8:$BC$10012,54,0)</f>
        <v>#N/A</v>
      </c>
      <c r="L294" t="e">
        <f>IF(Tabla26[[#This Row],[VALOR RESTANTE]]&lt;Tabla26[[#This Row],[VALOR]],"NO DISPONIBLE","DISPONIBLE")</f>
        <v>#N/A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5"/>
        <v>105000</v>
      </c>
      <c r="K295" t="e">
        <f>VLOOKUP(B295,'REGISTRO ABONOS'!$B$8:$BC$10012,54,0)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5"/>
        <v>105000</v>
      </c>
      <c r="K296" t="e">
        <f>VLOOKUP(B296,'REGISTRO ABONOS'!$B$8:$BC$10012,54,0)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5"/>
        <v>105000</v>
      </c>
      <c r="K297" t="e">
        <f>VLOOKUP(B297,'REGISTRO ABONOS'!$B$8:$BC$10012,54,0)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5"/>
        <v>105000</v>
      </c>
      <c r="K298" t="e">
        <f>VLOOKUP(B298,'REGISTRO ABONOS'!$B$8:$BC$10012,54,0)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5"/>
        <v>105000</v>
      </c>
      <c r="K299" t="e">
        <f>VLOOKUP(B299,'REGISTRO ABONOS'!$B$8:$BC$10012,54,0)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5"/>
        <v>105000</v>
      </c>
      <c r="K300" t="e">
        <f>VLOOKUP(B300,'REGISTRO ABONOS'!$B$8:$BC$10012,54,0)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5"/>
        <v>105000</v>
      </c>
      <c r="K301" t="e">
        <f>VLOOKUP(B301,'REGISTRO ABONOS'!$B$8:$BC$10012,54,0)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J302">
        <f t="shared" si="5"/>
        <v>105000</v>
      </c>
      <c r="K302" t="e">
        <f>VLOOKUP(B302,'REGISTRO ABONOS'!$B$8:$BC$10012,54,0)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J303">
        <f t="shared" si="5"/>
        <v>105000</v>
      </c>
      <c r="K303" t="e">
        <f>VLOOKUP(B303,'REGISTRO ABONOS'!$B$8:$BC$10012,54,0)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5"/>
        <v>105000</v>
      </c>
      <c r="K304" t="e">
        <f>VLOOKUP(B304,'REGISTRO ABONOS'!$B$8:$BC$10012,54,0)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5"/>
        <v>105000</v>
      </c>
      <c r="K305" t="e">
        <f>VLOOKUP(B305,'REGISTRO ABONOS'!$B$8:$BC$10012,54,0)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5"/>
        <v>105000</v>
      </c>
      <c r="K306" t="e">
        <f>VLOOKUP(B306,'REGISTRO ABONOS'!$B$8:$BC$10012,54,0)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5"/>
        <v>105000</v>
      </c>
      <c r="K307" t="e">
        <f>VLOOKUP(B307,'REGISTRO ABONOS'!$B$8:$BC$10012,54,0)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5"/>
        <v>105000</v>
      </c>
      <c r="K308" t="e">
        <f>VLOOKUP(B308,'REGISTRO ABONOS'!$B$8:$BC$10012,54,0)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J309">
        <f t="shared" si="5"/>
        <v>105000</v>
      </c>
      <c r="K309" t="e">
        <f>VLOOKUP(B309,'REGISTRO ABONOS'!$B$8:$BC$10012,54,0)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J310">
        <f t="shared" si="5"/>
        <v>105000</v>
      </c>
      <c r="K310" t="e">
        <f>VLOOKUP(B310,'REGISTRO ABONOS'!$B$8:$BC$10012,54,0)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5"/>
        <v>105000</v>
      </c>
      <c r="K311" t="e">
        <f>VLOOKUP(B311,'REGISTRO ABONOS'!$B$8:$BC$10012,54,0)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5"/>
        <v>105000</v>
      </c>
      <c r="K312" t="e">
        <f>VLOOKUP(B312,'REGISTRO ABONOS'!$B$8:$BC$10012,54,0)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5"/>
        <v>105000</v>
      </c>
      <c r="K313" t="e">
        <f>VLOOKUP(B313,'REGISTRO ABONOS'!$B$8:$BC$10012,54,0)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5"/>
        <v>105000</v>
      </c>
      <c r="K314" t="e">
        <f>VLOOKUP(B314,'REGISTRO ABONOS'!$B$8:$BC$10012,54,0)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5"/>
        <v>105000</v>
      </c>
      <c r="K315" t="e">
        <f>VLOOKUP(B315,'REGISTRO ABONOS'!$B$8:$BC$10012,54,0)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J316">
        <f t="shared" si="5"/>
        <v>105000</v>
      </c>
      <c r="K316" t="e">
        <f>VLOOKUP(B316,'REGISTRO ABONOS'!$B$8:$BC$10012,54,0)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J317">
        <f t="shared" si="5"/>
        <v>105000</v>
      </c>
      <c r="K317" t="e">
        <f>VLOOKUP(B317,'REGISTRO ABONOS'!$B$8:$BC$10012,54,0)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5"/>
        <v>105000</v>
      </c>
      <c r="K318" t="e">
        <f>VLOOKUP(B318,'REGISTRO ABONOS'!$B$8:$BC$10012,54,0)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5"/>
        <v>105000</v>
      </c>
      <c r="K319" t="e">
        <f>VLOOKUP(B319,'REGISTRO ABONOS'!$B$8:$BC$10012,54,0)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5"/>
        <v>105000</v>
      </c>
      <c r="K320" t="e">
        <f>VLOOKUP(B320,'REGISTRO ABONOS'!$B$8:$BC$10012,54,0)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J321">
        <f t="shared" si="5"/>
        <v>105000</v>
      </c>
      <c r="K321" t="e">
        <f>VLOOKUP(B321,'REGISTRO ABONOS'!$B$8:$BC$10012,54,0)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5"/>
        <v>105000</v>
      </c>
      <c r="K322" t="e">
        <f>VLOOKUP(B322,'REGISTRO ABONOS'!$B$8:$BC$10012,54,0)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5"/>
        <v>105000</v>
      </c>
      <c r="K323" t="e">
        <f>VLOOKUP(B323,'REGISTRO ABONOS'!$B$8:$BC$10012,54,0)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5"/>
        <v>105000</v>
      </c>
      <c r="K324" t="e">
        <f>VLOOKUP(B324,'REGISTRO ABONOS'!$B$8:$BC$10012,54,0)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J325">
        <f t="shared" si="5"/>
        <v>105000</v>
      </c>
      <c r="K325" t="e">
        <f>VLOOKUP(B325,'REGISTRO ABONOS'!$B$8:$BC$10012,54,0)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5"/>
        <v>105000</v>
      </c>
      <c r="K326" t="e">
        <f>VLOOKUP(B326,'REGISTRO ABONOS'!$B$8:$BC$10012,54,0)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J327">
        <f t="shared" si="5"/>
        <v>105000</v>
      </c>
      <c r="K327" t="e">
        <f>VLOOKUP(B327,'REGISTRO ABONOS'!$B$8:$BC$10012,54,0)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J328">
        <f t="shared" si="5"/>
        <v>105000</v>
      </c>
      <c r="K328" t="e">
        <f>VLOOKUP(B328,'REGISTRO ABONOS'!$B$8:$BC$10012,54,0)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5"/>
        <v>105000</v>
      </c>
      <c r="K329" t="e">
        <f>VLOOKUP(B329,'REGISTRO ABONOS'!$B$8:$BC$10012,54,0)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J330">
        <f t="shared" si="5"/>
        <v>105000</v>
      </c>
      <c r="K330" t="e">
        <f>VLOOKUP(B330,'REGISTRO ABONOS'!$B$8:$BC$10012,54,0)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J331">
        <f t="shared" si="5"/>
        <v>105000</v>
      </c>
      <c r="K331" t="e">
        <f>VLOOKUP(B331,'REGISTRO ABONOS'!$B$8:$BC$10012,54,0)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ABONOS'!$B$8:$BC$10012,54,0)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6"/>
        <v>105000</v>
      </c>
      <c r="K333" t="e">
        <f>VLOOKUP(B333,'REGISTRO ABONOS'!$B$8:$BC$10012,54,0)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J334">
        <f t="shared" si="6"/>
        <v>105000</v>
      </c>
      <c r="K334" t="e">
        <f>VLOOKUP(B334,'REGISTRO ABONOS'!$B$8:$BC$10012,54,0)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J335">
        <f t="shared" si="6"/>
        <v>105000</v>
      </c>
      <c r="K335" t="e">
        <f>VLOOKUP(B335,'REGISTRO ABONOS'!$B$8:$BC$10012,54,0)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J336">
        <f t="shared" si="6"/>
        <v>105000</v>
      </c>
      <c r="K336" t="e">
        <f>VLOOKUP(B336,'REGISTRO ABONOS'!$B$8:$BC$10012,54,0)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J337">
        <f t="shared" si="6"/>
        <v>105000</v>
      </c>
      <c r="K337" t="e">
        <f>VLOOKUP(B337,'REGISTRO ABONOS'!$B$8:$BC$10012,54,0)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6"/>
        <v>105000</v>
      </c>
      <c r="K338" t="e">
        <f>VLOOKUP(B338,'REGISTRO ABONOS'!$B$8:$BC$10012,54,0)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6"/>
        <v>105000</v>
      </c>
      <c r="K339" t="e">
        <f>VLOOKUP(B339,'REGISTRO ABONOS'!$B$8:$BC$10012,54,0)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6"/>
        <v>105000</v>
      </c>
      <c r="K340" t="e">
        <f>VLOOKUP(B340,'REGISTRO ABONOS'!$B$8:$BC$10012,54,0)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J341">
        <f t="shared" si="6"/>
        <v>105000</v>
      </c>
      <c r="K341" t="e">
        <f>VLOOKUP(B341,'REGISTRO ABONOS'!$B$8:$BC$10012,54,0)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6"/>
        <v>105000</v>
      </c>
      <c r="K342" t="e">
        <f>VLOOKUP(B342,'REGISTRO ABONOS'!$B$8:$BC$10012,54,0)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J343">
        <f t="shared" si="6"/>
        <v>105000</v>
      </c>
      <c r="K343" t="e">
        <f>VLOOKUP(B343,'REGISTRO ABONOS'!$B$8:$BC$10012,54,0)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6"/>
        <v>105000</v>
      </c>
      <c r="K344" t="e">
        <f>VLOOKUP(B344,'REGISTRO ABONOS'!$B$8:$BC$10012,54,0)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6"/>
        <v>105000</v>
      </c>
      <c r="K345" t="e">
        <f>VLOOKUP(B345,'REGISTRO ABONOS'!$B$8:$BC$10012,54,0)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J346">
        <f t="shared" si="6"/>
        <v>105000</v>
      </c>
      <c r="K346" t="e">
        <f>VLOOKUP(B346,'REGISTRO ABONOS'!$B$8:$BC$10012,54,0)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6"/>
        <v>105000</v>
      </c>
      <c r="K347" t="e">
        <f>VLOOKUP(B347,'REGISTRO ABONOS'!$B$8:$BC$10012,54,0)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6"/>
        <v>105000</v>
      </c>
      <c r="K348" t="e">
        <f>VLOOKUP(B348,'REGISTRO ABONOS'!$B$8:$BC$10012,54,0)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6"/>
        <v>105000</v>
      </c>
      <c r="K349" t="e">
        <f>VLOOKUP(B349,'REGISTRO ABONOS'!$B$8:$BC$10012,54,0)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6"/>
        <v>105000</v>
      </c>
      <c r="K350" t="e">
        <f>VLOOKUP(B350,'REGISTRO ABONOS'!$B$8:$BC$10012,54,0)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6"/>
        <v>105000</v>
      </c>
      <c r="K351" t="e">
        <f>VLOOKUP(B351,'REGISTRO ABONOS'!$B$8:$BC$10012,54,0)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J352">
        <f t="shared" si="6"/>
        <v>105000</v>
      </c>
      <c r="K352" t="e">
        <f>VLOOKUP(B352,'REGISTRO ABONOS'!$B$8:$BC$10012,54,0)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6"/>
        <v>105000</v>
      </c>
      <c r="K353" t="e">
        <f>VLOOKUP(B353,'REGISTRO ABONOS'!$B$8:$BC$10012,54,0)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J354">
        <f t="shared" si="6"/>
        <v>105000</v>
      </c>
      <c r="K354" t="e">
        <f>VLOOKUP(B354,'REGISTRO ABONOS'!$B$8:$BC$10012,54,0)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6"/>
        <v>105000</v>
      </c>
      <c r="K355" t="e">
        <f>VLOOKUP(B355,'REGISTRO ABONOS'!$B$8:$BC$10012,54,0)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6"/>
        <v>105000</v>
      </c>
      <c r="K356" t="e">
        <f>VLOOKUP(B356,'REGISTRO ABONOS'!$B$8:$BC$10012,54,0)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6"/>
        <v>105000</v>
      </c>
      <c r="K357" t="e">
        <f>VLOOKUP(B357,'REGISTRO ABONOS'!$B$8:$BC$10012,54,0)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6"/>
        <v>105000</v>
      </c>
      <c r="K358" t="e">
        <f>VLOOKUP(B358,'REGISTRO ABONOS'!$B$8:$BC$10012,54,0)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J359">
        <f t="shared" si="6"/>
        <v>105000</v>
      </c>
      <c r="K359" t="e">
        <f>VLOOKUP(B359,'REGISTRO ABONOS'!$B$8:$BC$10012,54,0)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6"/>
        <v>105000</v>
      </c>
      <c r="K360" t="e">
        <f>VLOOKUP(B360,'REGISTRO ABONOS'!$B$8:$BC$10012,54,0)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6"/>
        <v>105000</v>
      </c>
      <c r="K361" t="e">
        <f>VLOOKUP(B361,'REGISTRO ABONOS'!$B$8:$BC$10012,54,0)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6"/>
        <v>105000</v>
      </c>
      <c r="K362" t="e">
        <f>VLOOKUP(B362,'REGISTRO ABONOS'!$B$8:$BC$10012,54,0)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6"/>
        <v>105000</v>
      </c>
      <c r="K363" t="e">
        <f>VLOOKUP(B363,'REGISTRO ABONOS'!$B$8:$BC$10012,54,0)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6"/>
        <v>105000</v>
      </c>
      <c r="K364" t="e">
        <f>VLOOKUP(B364,'REGISTRO ABONOS'!$B$8:$BC$10012,54,0)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6"/>
        <v>105000</v>
      </c>
      <c r="K365" t="e">
        <f>VLOOKUP(B365,'REGISTRO ABONOS'!$B$8:$BC$10012,54,0)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J366">
        <f t="shared" si="6"/>
        <v>105000</v>
      </c>
      <c r="K366" t="e">
        <f>VLOOKUP(B366,'REGISTRO ABONOS'!$B$8:$BC$10012,54,0)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J367">
        <f t="shared" si="6"/>
        <v>105000</v>
      </c>
      <c r="K367" t="e">
        <f>VLOOKUP(B367,'REGISTRO ABONOS'!$B$8:$BC$10012,54,0)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6"/>
        <v>105000</v>
      </c>
      <c r="K368" t="e">
        <f>VLOOKUP(B368,'REGISTRO ABONOS'!$B$8:$BC$10012,54,0)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6"/>
        <v>105000</v>
      </c>
      <c r="K369" t="e">
        <f>VLOOKUP(B369,'REGISTRO ABONOS'!$B$8:$BC$10012,54,0)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6"/>
        <v>105000</v>
      </c>
      <c r="K370" t="e">
        <f>VLOOKUP(B370,'REGISTRO ABONOS'!$B$8:$BC$10012,54,0)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6"/>
        <v>105000</v>
      </c>
      <c r="K371" t="e">
        <f>VLOOKUP(B371,'REGISTRO ABONOS'!$B$8:$BC$10012,54,0)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6"/>
        <v>105000</v>
      </c>
      <c r="K372" t="e">
        <f>VLOOKUP(B372,'REGISTRO ABONOS'!$B$8:$BC$10012,54,0)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6"/>
        <v>105000</v>
      </c>
      <c r="K373" t="e">
        <f>VLOOKUP(B373,'REGISTRO ABONOS'!$B$8:$BC$10012,54,0)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6"/>
        <v>105000</v>
      </c>
      <c r="K374" t="e">
        <f>VLOOKUP(B374,'REGISTRO ABONOS'!$B$8:$BC$10012,54,0)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6"/>
        <v>105000</v>
      </c>
      <c r="K375" t="e">
        <f>VLOOKUP(B375,'REGISTRO ABONOS'!$B$8:$BC$10012,54,0)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6"/>
        <v>105000</v>
      </c>
      <c r="K376" t="e">
        <f>VLOOKUP(B376,'REGISTRO ABONOS'!$B$8:$BC$10012,54,0)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6"/>
        <v>105000</v>
      </c>
      <c r="K377" t="e">
        <f>VLOOKUP(B377,'REGISTRO ABONOS'!$B$8:$BC$10012,54,0)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J378">
        <f t="shared" si="6"/>
        <v>105000</v>
      </c>
      <c r="K378" t="e">
        <f>VLOOKUP(B378,'REGISTRO ABONOS'!$B$8:$BC$10012,54,0)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6"/>
        <v>105000</v>
      </c>
      <c r="K379" t="e">
        <f>VLOOKUP(B379,'REGISTRO ABONOS'!$B$8:$BC$10012,54,0)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6"/>
        <v>105000</v>
      </c>
      <c r="K380" t="e">
        <f>VLOOKUP(B380,'REGISTRO ABONOS'!$B$8:$BC$10012,54,0)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6"/>
        <v>105000</v>
      </c>
      <c r="K381" t="e">
        <f>VLOOKUP(B381,'REGISTRO ABONOS'!$B$8:$BC$10012,54,0)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J382">
        <f t="shared" si="6"/>
        <v>105000</v>
      </c>
      <c r="K382" t="e">
        <f>VLOOKUP(B382,'REGISTRO ABONOS'!$B$8:$BC$10012,54,0)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6"/>
        <v>105000</v>
      </c>
      <c r="K383" t="e">
        <f>VLOOKUP(B383,'REGISTRO ABONOS'!$B$8:$BC$10012,54,0)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6"/>
        <v>105000</v>
      </c>
      <c r="K384" t="e">
        <f>VLOOKUP(B384,'REGISTRO ABONOS'!$B$8:$BC$10012,54,0)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J385">
        <f t="shared" si="6"/>
        <v>105000</v>
      </c>
      <c r="K385" t="e">
        <f>VLOOKUP(B385,'REGISTRO ABONOS'!$B$8:$BC$10012,54,0)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J386">
        <f t="shared" si="6"/>
        <v>105000</v>
      </c>
      <c r="K386" t="e">
        <f>VLOOKUP(B386,'REGISTRO ABONOS'!$B$8:$BC$10012,54,0)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J387">
        <f t="shared" si="6"/>
        <v>105000</v>
      </c>
      <c r="K387" t="e">
        <f>VLOOKUP(B387,'REGISTRO ABONOS'!$B$8:$BC$10012,54,0)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6"/>
        <v>105000</v>
      </c>
      <c r="K388" t="e">
        <f>VLOOKUP(B388,'REGISTRO ABONOS'!$B$8:$BC$10012,54,0)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6"/>
        <v>105000</v>
      </c>
      <c r="K389" t="e">
        <f>VLOOKUP(B389,'REGISTRO ABONOS'!$B$8:$BC$10012,54,0)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J390">
        <f t="shared" si="6"/>
        <v>105000</v>
      </c>
      <c r="K390" t="e">
        <f>VLOOKUP(B390,'REGISTRO ABONOS'!$B$8:$BC$10012,54,0)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6"/>
        <v>105000</v>
      </c>
      <c r="K391" t="e">
        <f>VLOOKUP(B391,'REGISTRO ABONOS'!$B$8:$BC$10012,54,0)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6"/>
        <v>105000</v>
      </c>
      <c r="K392" t="e">
        <f>VLOOKUP(B392,'REGISTRO ABONOS'!$B$8:$BC$10012,54,0)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6"/>
        <v>105000</v>
      </c>
      <c r="K393" t="e">
        <f>VLOOKUP(B393,'REGISTRO ABONOS'!$B$8:$BC$10012,54,0)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6"/>
        <v>105000</v>
      </c>
      <c r="K394" t="e">
        <f>VLOOKUP(B394,'REGISTRO ABONOS'!$B$8:$BC$10012,54,0)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J395">
        <f t="shared" si="6"/>
        <v>105000</v>
      </c>
      <c r="K395" t="e">
        <f>VLOOKUP(B395,'REGISTRO ABONOS'!$B$8:$BC$10012,54,0)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ABONOS'!$B$8:$BC$10012,54,0)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7"/>
        <v>105000</v>
      </c>
      <c r="K397" t="e">
        <f>VLOOKUP(B397,'REGISTRO ABONOS'!$B$8:$BC$10012,54,0)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7"/>
        <v>105000</v>
      </c>
      <c r="K398" t="e">
        <f>VLOOKUP(B398,'REGISTRO ABONOS'!$B$8:$BC$10012,54,0)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7"/>
        <v>105000</v>
      </c>
      <c r="K399" t="e">
        <f>VLOOKUP(B399,'REGISTRO ABONOS'!$B$8:$BC$10012,54,0)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J400">
        <f t="shared" si="7"/>
        <v>105000</v>
      </c>
      <c r="K400" t="e">
        <f>VLOOKUP(B400,'REGISTRO ABONOS'!$B$8:$BC$10012,54,0)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J401">
        <f t="shared" si="7"/>
        <v>105000</v>
      </c>
      <c r="K401" t="e">
        <f>VLOOKUP(B401,'REGISTRO ABONOS'!$B$8:$BC$10012,54,0)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J402">
        <f t="shared" si="7"/>
        <v>105000</v>
      </c>
      <c r="K402" t="e">
        <f>VLOOKUP(B402,'REGISTRO ABONOS'!$B$8:$BC$10012,54,0)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J403">
        <f t="shared" si="7"/>
        <v>105000</v>
      </c>
      <c r="K403" t="e">
        <f>VLOOKUP(B403,'REGISTRO ABONOS'!$B$8:$BC$10012,54,0)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J404">
        <f t="shared" si="7"/>
        <v>105000</v>
      </c>
      <c r="K404" t="e">
        <f>VLOOKUP(B404,'REGISTRO ABONOS'!$B$8:$BC$10012,54,0)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7"/>
        <v>105000</v>
      </c>
      <c r="K405" t="e">
        <f>VLOOKUP(B405,'REGISTRO ABONOS'!$B$8:$BC$10012,54,0)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7"/>
        <v>105000</v>
      </c>
      <c r="K406" t="e">
        <f>VLOOKUP(B406,'REGISTRO ABONOS'!$B$8:$BC$10012,54,0)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7"/>
        <v>105000</v>
      </c>
      <c r="K407" t="e">
        <f>VLOOKUP(B407,'REGISTRO ABONOS'!$B$8:$BC$10012,54,0)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J408">
        <f t="shared" si="7"/>
        <v>105000</v>
      </c>
      <c r="K408" t="e">
        <f>VLOOKUP(B408,'REGISTRO ABONOS'!$B$8:$BC$10012,54,0)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J409">
        <f t="shared" si="7"/>
        <v>105000</v>
      </c>
      <c r="K409" t="e">
        <f>VLOOKUP(B409,'REGISTRO ABONOS'!$B$8:$BC$10012,54,0)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7"/>
        <v>105000</v>
      </c>
      <c r="K410" t="e">
        <f>VLOOKUP(B410,'REGISTRO ABONOS'!$B$8:$BC$10012,54,0)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7"/>
        <v>105000</v>
      </c>
      <c r="K411" t="e">
        <f>VLOOKUP(B411,'REGISTRO ABONOS'!$B$8:$BC$10012,54,0)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7"/>
        <v>105000</v>
      </c>
      <c r="K412" t="e">
        <f>VLOOKUP(B412,'REGISTRO ABONOS'!$B$8:$BC$10012,54,0)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J413">
        <f t="shared" si="7"/>
        <v>105000</v>
      </c>
      <c r="K413" t="e">
        <f>VLOOKUP(B413,'REGISTRO ABONOS'!$B$8:$BC$10012,54,0)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7"/>
        <v>105000</v>
      </c>
      <c r="K414" t="e">
        <f>VLOOKUP(B414,'REGISTRO ABONOS'!$B$8:$BC$10012,54,0)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7"/>
        <v>105000</v>
      </c>
      <c r="K415" t="e">
        <f>VLOOKUP(B415,'REGISTRO ABONOS'!$B$8:$BC$10012,54,0)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7"/>
        <v>105000</v>
      </c>
      <c r="K416" t="e">
        <f>VLOOKUP(B416,'REGISTRO ABONOS'!$B$8:$BC$10012,54,0)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7"/>
        <v>105000</v>
      </c>
      <c r="K417" t="e">
        <f>VLOOKUP(B417,'REGISTRO ABONOS'!$B$8:$BC$10012,54,0)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7"/>
        <v>105000</v>
      </c>
      <c r="K418" t="e">
        <f>VLOOKUP(B418,'REGISTRO ABONOS'!$B$8:$BC$10012,54,0)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J419">
        <f t="shared" si="7"/>
        <v>105000</v>
      </c>
      <c r="K419" t="e">
        <f>VLOOKUP(B419,'REGISTRO ABONOS'!$B$8:$BC$10012,54,0)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7"/>
        <v>105000</v>
      </c>
      <c r="K420" t="e">
        <f>VLOOKUP(B420,'REGISTRO ABONOS'!$B$8:$BC$10012,54,0)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7"/>
        <v>105000</v>
      </c>
      <c r="K421" t="e">
        <f>VLOOKUP(B421,'REGISTRO ABONOS'!$B$8:$BC$10012,54,0)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7"/>
        <v>105000</v>
      </c>
      <c r="K422" t="e">
        <f>VLOOKUP(B422,'REGISTRO ABONOS'!$B$8:$BC$10012,54,0)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7"/>
        <v>105000</v>
      </c>
      <c r="K423" t="e">
        <f>VLOOKUP(B423,'REGISTRO ABONOS'!$B$8:$BC$10012,54,0)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J424">
        <f t="shared" si="7"/>
        <v>105000</v>
      </c>
      <c r="K424" t="e">
        <f>VLOOKUP(B424,'REGISTRO ABONOS'!$B$8:$BC$10012,54,0)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J425">
        <f t="shared" si="7"/>
        <v>105000</v>
      </c>
      <c r="K425" t="e">
        <f>VLOOKUP(B425,'REGISTRO ABONOS'!$B$8:$BC$10012,54,0)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7"/>
        <v>105000</v>
      </c>
      <c r="K426" t="e">
        <f>VLOOKUP(B426,'REGISTRO ABONOS'!$B$8:$BC$10012,54,0)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J427">
        <f t="shared" si="7"/>
        <v>105000</v>
      </c>
      <c r="K427" t="e">
        <f>VLOOKUP(B427,'REGISTRO ABONOS'!$B$8:$BC$10012,54,0)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J428">
        <f t="shared" si="7"/>
        <v>105000</v>
      </c>
      <c r="K428" t="e">
        <f>VLOOKUP(B428,'REGISTRO ABONOS'!$B$8:$BC$10012,54,0)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7"/>
        <v>105000</v>
      </c>
      <c r="K429" t="e">
        <f>VLOOKUP(B429,'REGISTRO ABONOS'!$B$8:$BC$10012,54,0)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7"/>
        <v>105000</v>
      </c>
      <c r="K430" t="e">
        <f>VLOOKUP(B430,'REGISTRO ABONOS'!$B$8:$BC$10012,54,0)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7"/>
        <v>105000</v>
      </c>
      <c r="K431" t="e">
        <f>VLOOKUP(B431,'REGISTRO ABONOS'!$B$8:$BC$10012,54,0)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J432">
        <f t="shared" si="7"/>
        <v>105000</v>
      </c>
      <c r="K432" t="e">
        <f>VLOOKUP(B432,'REGISTRO ABONOS'!$B$8:$BC$10012,54,0)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7"/>
        <v>105000</v>
      </c>
      <c r="K433" t="e">
        <f>VLOOKUP(B433,'REGISTRO ABONOS'!$B$8:$BC$10012,54,0)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7"/>
        <v>105000</v>
      </c>
      <c r="K434" t="e">
        <f>VLOOKUP(B434,'REGISTRO ABONOS'!$B$8:$BC$10012,54,0)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J435">
        <f t="shared" si="7"/>
        <v>105000</v>
      </c>
      <c r="K435" t="e">
        <f>VLOOKUP(B435,'REGISTRO ABONOS'!$B$8:$BC$10012,54,0)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7"/>
        <v>105000</v>
      </c>
      <c r="K436" t="e">
        <f>VLOOKUP(B436,'REGISTRO ABONOS'!$B$8:$BC$10012,54,0)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J437">
        <f t="shared" si="7"/>
        <v>105000</v>
      </c>
      <c r="K437" t="e">
        <f>VLOOKUP(B437,'REGISTRO ABONOS'!$B$8:$BC$10012,54,0)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J438">
        <f t="shared" si="7"/>
        <v>105000</v>
      </c>
      <c r="K438" t="e">
        <f>VLOOKUP(B438,'REGISTRO ABONOS'!$B$8:$BC$10012,54,0)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J439">
        <f t="shared" si="7"/>
        <v>105000</v>
      </c>
      <c r="K439" t="e">
        <f>VLOOKUP(B439,'REGISTRO ABONOS'!$B$8:$BC$10012,54,0)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J440">
        <f t="shared" si="7"/>
        <v>105000</v>
      </c>
      <c r="K440" t="e">
        <f>VLOOKUP(B440,'REGISTRO ABONOS'!$B$8:$BC$10012,54,0)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J441">
        <f t="shared" si="7"/>
        <v>105000</v>
      </c>
      <c r="K441" t="e">
        <f>VLOOKUP(B441,'REGISTRO ABONOS'!$B$8:$BC$10012,54,0)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7"/>
        <v>105000</v>
      </c>
      <c r="K442" t="e">
        <f>VLOOKUP(B442,'REGISTRO ABONOS'!$B$8:$BC$10012,54,0)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7"/>
        <v>105000</v>
      </c>
      <c r="K443" t="e">
        <f>VLOOKUP(B443,'REGISTRO ABONOS'!$B$8:$BC$10012,54,0)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J444">
        <f t="shared" si="7"/>
        <v>105000</v>
      </c>
      <c r="K444" t="e">
        <f>VLOOKUP(B444,'REGISTRO ABONOS'!$B$8:$BC$10012,54,0)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J445">
        <f t="shared" si="7"/>
        <v>105000</v>
      </c>
      <c r="K445" t="e">
        <f>VLOOKUP(B445,'REGISTRO ABONOS'!$B$8:$BC$10012,54,0)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7"/>
        <v>105000</v>
      </c>
      <c r="K446" t="e">
        <f>VLOOKUP(B446,'REGISTRO ABONOS'!$B$8:$BC$10012,54,0)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7"/>
        <v>105000</v>
      </c>
      <c r="K447" t="e">
        <f>VLOOKUP(B447,'REGISTRO ABONOS'!$B$8:$BC$10012,54,0)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7"/>
        <v>105000</v>
      </c>
      <c r="K448" t="e">
        <f>VLOOKUP(B448,'REGISTRO ABONOS'!$B$8:$BC$10012,54,0)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J449">
        <f t="shared" si="7"/>
        <v>105000</v>
      </c>
      <c r="K449" t="e">
        <f>VLOOKUP(B449,'REGISTRO ABONOS'!$B$8:$BC$10012,54,0)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7"/>
        <v>105000</v>
      </c>
      <c r="K450" t="e">
        <f>VLOOKUP(B450,'REGISTRO ABONOS'!$B$8:$BC$10012,54,0)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7"/>
        <v>105000</v>
      </c>
      <c r="K451" t="e">
        <f>VLOOKUP(B451,'REGISTRO ABONOS'!$B$8:$BC$10012,54,0)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7"/>
        <v>105000</v>
      </c>
      <c r="K452" t="e">
        <f>VLOOKUP(B452,'REGISTRO ABONOS'!$B$8:$BC$10012,54,0)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J453">
        <f t="shared" si="7"/>
        <v>105000</v>
      </c>
      <c r="K453" t="e">
        <f>VLOOKUP(B453,'REGISTRO ABONOS'!$B$8:$BC$10012,54,0)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7"/>
        <v>105000</v>
      </c>
      <c r="K454" t="e">
        <f>VLOOKUP(B454,'REGISTRO ABONOS'!$B$8:$BC$10012,54,0)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7"/>
        <v>105000</v>
      </c>
      <c r="K455" t="e">
        <f>VLOOKUP(B455,'REGISTRO ABONOS'!$B$8:$BC$10012,54,0)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J456">
        <f t="shared" si="7"/>
        <v>105000</v>
      </c>
      <c r="K456" t="e">
        <f>VLOOKUP(B456,'REGISTRO ABONOS'!$B$8:$BC$10012,54,0)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7"/>
        <v>105000</v>
      </c>
      <c r="K457" t="e">
        <f>VLOOKUP(B457,'REGISTRO ABONOS'!$B$8:$BC$10012,54,0)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7"/>
        <v>105000</v>
      </c>
      <c r="K458" t="e">
        <f>VLOOKUP(B458,'REGISTRO ABONOS'!$B$8:$BC$10012,54,0)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J459">
        <f t="shared" si="7"/>
        <v>105000</v>
      </c>
      <c r="K459" t="e">
        <f>VLOOKUP(B459,'REGISTRO ABONOS'!$B$8:$BC$10012,54,0)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ABONOS'!$B$8:$BC$10012,54,0)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8"/>
        <v>105000</v>
      </c>
      <c r="K461" t="e">
        <f>VLOOKUP(B461,'REGISTRO ABONOS'!$B$8:$BC$10012,54,0)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8"/>
        <v>105000</v>
      </c>
      <c r="K462" t="e">
        <f>VLOOKUP(B462,'REGISTRO ABONOS'!$B$8:$BC$10012,54,0)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J463">
        <f t="shared" si="8"/>
        <v>105000</v>
      </c>
      <c r="K463" t="e">
        <f>VLOOKUP(B463,'REGISTRO ABONOS'!$B$8:$BC$10012,54,0)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8"/>
        <v>105000</v>
      </c>
      <c r="K464" t="e">
        <f>VLOOKUP(B464,'REGISTRO ABONOS'!$B$8:$BC$10012,54,0)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8"/>
        <v>105000</v>
      </c>
      <c r="K465" t="e">
        <f>VLOOKUP(B465,'REGISTRO ABONOS'!$B$8:$BC$10012,54,0)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J466">
        <f t="shared" si="8"/>
        <v>105000</v>
      </c>
      <c r="K466" t="e">
        <f>VLOOKUP(B466,'REGISTRO ABONOS'!$B$8:$BC$10012,54,0)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J467">
        <f t="shared" si="8"/>
        <v>105000</v>
      </c>
      <c r="K467" t="e">
        <f>VLOOKUP(B467,'REGISTRO ABONOS'!$B$8:$BC$10012,54,0)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8"/>
        <v>105000</v>
      </c>
      <c r="K468" t="e">
        <f>VLOOKUP(B468,'REGISTRO ABONOS'!$B$8:$BC$10012,54,0)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8"/>
        <v>105000</v>
      </c>
      <c r="K469" t="e">
        <f>VLOOKUP(B469,'REGISTRO ABONOS'!$B$8:$BC$10012,54,0)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8"/>
        <v>105000</v>
      </c>
      <c r="K470" t="e">
        <f>VLOOKUP(B470,'REGISTRO ABONOS'!$B$8:$BC$10012,54,0)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8"/>
        <v>105000</v>
      </c>
      <c r="K471" t="e">
        <f>VLOOKUP(B471,'REGISTRO ABONOS'!$B$8:$BC$10012,54,0)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8"/>
        <v>105000</v>
      </c>
      <c r="K472" t="e">
        <f>VLOOKUP(B472,'REGISTRO ABONOS'!$B$8:$BC$10012,54,0)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8"/>
        <v>105000</v>
      </c>
      <c r="K473" t="e">
        <f>VLOOKUP(B473,'REGISTRO ABONOS'!$B$8:$BC$10012,54,0)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8"/>
        <v>105000</v>
      </c>
      <c r="K474" t="e">
        <f>VLOOKUP(B474,'REGISTRO ABONOS'!$B$8:$BC$10012,54,0)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8"/>
        <v>105000</v>
      </c>
      <c r="K475" t="e">
        <f>VLOOKUP(B475,'REGISTRO ABONOS'!$B$8:$BC$10012,54,0)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8"/>
        <v>105000</v>
      </c>
      <c r="K476" t="e">
        <f>VLOOKUP(B476,'REGISTRO ABONOS'!$B$8:$BC$10012,54,0)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J477">
        <f t="shared" si="8"/>
        <v>105000</v>
      </c>
      <c r="K477" t="e">
        <f>VLOOKUP(B477,'REGISTRO ABONOS'!$B$8:$BC$10012,54,0)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J478">
        <f t="shared" si="8"/>
        <v>105000</v>
      </c>
      <c r="K478" t="e">
        <f>VLOOKUP(B478,'REGISTRO ABONOS'!$B$8:$BC$10012,54,0)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8"/>
        <v>105000</v>
      </c>
      <c r="K479" t="e">
        <f>VLOOKUP(B479,'REGISTRO ABONOS'!$B$8:$BC$10012,54,0)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8"/>
        <v>105000</v>
      </c>
      <c r="K480" t="e">
        <f>VLOOKUP(B480,'REGISTRO ABONOS'!$B$8:$BC$10012,54,0)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8"/>
        <v>105000</v>
      </c>
      <c r="K481" t="e">
        <f>VLOOKUP(B481,'REGISTRO ABONOS'!$B$8:$BC$10012,54,0)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J482">
        <f t="shared" si="8"/>
        <v>105000</v>
      </c>
      <c r="K482" t="e">
        <f>VLOOKUP(B482,'REGISTRO ABONOS'!$B$8:$BC$10012,54,0)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8"/>
        <v>105000</v>
      </c>
      <c r="K483" t="e">
        <f>VLOOKUP(B483,'REGISTRO ABONOS'!$B$8:$BC$10012,54,0)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8"/>
        <v>105000</v>
      </c>
      <c r="K484" t="e">
        <f>VLOOKUP(B484,'REGISTRO ABONOS'!$B$8:$BC$10012,54,0)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8"/>
        <v>105000</v>
      </c>
      <c r="K485" t="e">
        <f>VLOOKUP(B485,'REGISTRO ABONOS'!$B$8:$BC$10012,54,0)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8"/>
        <v>105000</v>
      </c>
      <c r="K486" t="e">
        <f>VLOOKUP(B486,'REGISTRO ABONOS'!$B$8:$BC$10012,54,0)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8"/>
        <v>105000</v>
      </c>
      <c r="K487" t="e">
        <f>VLOOKUP(B487,'REGISTRO ABONOS'!$B$8:$BC$10012,54,0)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8"/>
        <v>105000</v>
      </c>
      <c r="K488" t="e">
        <f>VLOOKUP(B488,'REGISTRO ABONOS'!$B$8:$BC$10012,54,0)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J489">
        <f t="shared" si="8"/>
        <v>105000</v>
      </c>
      <c r="K489" t="e">
        <f>VLOOKUP(B489,'REGISTRO ABONOS'!$B$8:$BC$10012,54,0)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J490">
        <f t="shared" si="8"/>
        <v>105000</v>
      </c>
      <c r="K490" t="e">
        <f>VLOOKUP(B490,'REGISTRO ABONOS'!$B$8:$BC$10012,54,0)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J491">
        <f t="shared" si="8"/>
        <v>105000</v>
      </c>
      <c r="K491" t="e">
        <f>VLOOKUP(B491,'REGISTRO ABONOS'!$B$8:$BC$10012,54,0)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8"/>
        <v>105000</v>
      </c>
      <c r="K492" t="e">
        <f>VLOOKUP(B492,'REGISTRO ABONOS'!$B$8:$BC$10012,54,0)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ABONOS'!$B$8:$BC$10012,54,0)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9"/>
        <v>105000</v>
      </c>
      <c r="K494" t="e">
        <f>VLOOKUP(B494,'REGISTRO ABONOS'!$B$8:$BC$10012,54,0)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9"/>
        <v>105000</v>
      </c>
      <c r="K495" t="e">
        <f>VLOOKUP(B495,'REGISTRO ABONOS'!$B$8:$BC$10012,54,0)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9"/>
        <v>105000</v>
      </c>
      <c r="K496" t="e">
        <f>VLOOKUP(B496,'REGISTRO ABONOS'!$B$8:$BC$10012,54,0)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9"/>
        <v>105000</v>
      </c>
      <c r="K497" t="e">
        <f>VLOOKUP(B497,'REGISTRO ABONOS'!$B$8:$BC$10012,54,0)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9"/>
        <v>105000</v>
      </c>
      <c r="K498" t="e">
        <f>VLOOKUP(B498,'REGISTRO ABONOS'!$B$8:$BC$10012,54,0)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9"/>
        <v>105000</v>
      </c>
      <c r="K499" t="e">
        <f>VLOOKUP(B499,'REGISTRO ABONOS'!$B$8:$BC$10012,54,0)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9"/>
        <v>105000</v>
      </c>
      <c r="K500" t="e">
        <f>VLOOKUP(B500,'REGISTRO ABONOS'!$B$8:$BC$10012,54,0)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9"/>
        <v>105000</v>
      </c>
      <c r="K501" t="e">
        <f>VLOOKUP(B501,'REGISTRO ABONOS'!$B$8:$BC$10012,54,0)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9"/>
        <v>105000</v>
      </c>
      <c r="K502" t="e">
        <f>VLOOKUP(B502,'REGISTRO ABONOS'!$B$8:$BC$10012,54,0)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9"/>
        <v>105000</v>
      </c>
      <c r="K503" t="e">
        <f>VLOOKUP(B503,'REGISTRO ABONOS'!$B$8:$BC$10012,54,0)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J504">
        <f t="shared" si="9"/>
        <v>105000</v>
      </c>
      <c r="K504" t="e">
        <f>VLOOKUP(B504,'REGISTRO ABONOS'!$B$8:$BC$10012,54,0)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9"/>
        <v>105000</v>
      </c>
      <c r="K505" t="e">
        <f>VLOOKUP(B505,'REGISTRO ABONOS'!$B$8:$BC$10012,54,0)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9"/>
        <v>105000</v>
      </c>
      <c r="K506" t="e">
        <f>VLOOKUP(B506,'REGISTRO ABONOS'!$B$8:$BC$10012,54,0)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9"/>
        <v>105000</v>
      </c>
      <c r="K507" t="e">
        <f>VLOOKUP(B507,'REGISTRO ABONOS'!$B$8:$BC$10012,54,0)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9"/>
        <v>105000</v>
      </c>
      <c r="K508" t="e">
        <f>VLOOKUP(B508,'REGISTRO ABONOS'!$B$8:$BC$10012,54,0)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9"/>
        <v>105000</v>
      </c>
      <c r="K509" t="e">
        <f>VLOOKUP(B509,'REGISTRO ABONOS'!$B$8:$BC$10012,54,0)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J510">
        <f t="shared" si="9"/>
        <v>105000</v>
      </c>
      <c r="K510" t="e">
        <f>VLOOKUP(B510,'REGISTRO ABONOS'!$B$8:$BC$10012,54,0)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9"/>
        <v>105000</v>
      </c>
      <c r="K511" t="e">
        <f>VLOOKUP(B511,'REGISTRO ABONOS'!$B$8:$BC$10012,54,0)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9"/>
        <v>105000</v>
      </c>
      <c r="K512" t="e">
        <f>VLOOKUP(B512,'REGISTRO ABONOS'!$B$8:$BC$10012,54,0)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9"/>
        <v>105000</v>
      </c>
      <c r="K513" t="e">
        <f>VLOOKUP(B513,'REGISTRO ABONOS'!$B$8:$BC$10012,54,0)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J514">
        <f t="shared" si="9"/>
        <v>105000</v>
      </c>
      <c r="K514" t="e">
        <f>VLOOKUP(B514,'REGISTRO ABONOS'!$B$8:$BC$10012,54,0)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9"/>
        <v>105000</v>
      </c>
      <c r="K515" t="e">
        <f>VLOOKUP(B515,'REGISTRO ABONOS'!$B$8:$BC$10012,54,0)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9"/>
        <v>105000</v>
      </c>
      <c r="K516" t="e">
        <f>VLOOKUP(B516,'REGISTRO ABONOS'!$B$8:$BC$10012,54,0)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9"/>
        <v>105000</v>
      </c>
      <c r="K517" t="e">
        <f>VLOOKUP(B517,'REGISTRO ABONOS'!$B$8:$BC$10012,54,0)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J518">
        <f t="shared" si="9"/>
        <v>105000</v>
      </c>
      <c r="K518" t="e">
        <f>VLOOKUP(B518,'REGISTRO ABONOS'!$B$8:$BC$10012,54,0)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9"/>
        <v>105000</v>
      </c>
      <c r="K519" t="e">
        <f>VLOOKUP(B519,'REGISTRO ABONOS'!$B$8:$BC$10012,54,0)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9"/>
        <v>105000</v>
      </c>
      <c r="K520" t="e">
        <f>VLOOKUP(B520,'REGISTRO ABONOS'!$B$8:$BC$10012,54,0)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J521">
        <f t="shared" si="9"/>
        <v>105000</v>
      </c>
      <c r="K521" t="e">
        <f>VLOOKUP(B521,'REGISTRO ABONOS'!$B$8:$BC$10012,54,0)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J522">
        <f t="shared" si="9"/>
        <v>105000</v>
      </c>
      <c r="K522" t="e">
        <f>VLOOKUP(B522,'REGISTRO ABONOS'!$B$8:$BC$10012,54,0)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9"/>
        <v>105000</v>
      </c>
      <c r="K523" t="e">
        <f>VLOOKUP(B523,'REGISTRO ABONOS'!$B$8:$BC$10012,54,0)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9"/>
        <v>105000</v>
      </c>
      <c r="K524" t="e">
        <f>VLOOKUP(B524,'REGISTRO ABONOS'!$B$8:$BC$10012,54,0)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ABONOS'!$B$8:$BC$10012,54,0)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10"/>
        <v>105000</v>
      </c>
      <c r="K526" t="e">
        <f>VLOOKUP(B526,'REGISTRO ABONOS'!$B$8:$BC$10012,54,0)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J527">
        <f t="shared" si="10"/>
        <v>105000</v>
      </c>
      <c r="K527" t="e">
        <f>VLOOKUP(B527,'REGISTRO ABONOS'!$B$8:$BC$10012,54,0)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10"/>
        <v>105000</v>
      </c>
      <c r="K528" t="e">
        <f>VLOOKUP(B528,'REGISTRO ABONOS'!$B$8:$BC$10012,54,0)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J529">
        <f t="shared" si="10"/>
        <v>105000</v>
      </c>
      <c r="K529" t="e">
        <f>VLOOKUP(B529,'REGISTRO ABONOS'!$B$8:$BC$10012,54,0)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J530">
        <f t="shared" si="10"/>
        <v>105000</v>
      </c>
      <c r="K530" t="e">
        <f>VLOOKUP(B530,'REGISTRO ABONOS'!$B$8:$BC$10012,54,0)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J531">
        <f t="shared" si="10"/>
        <v>105000</v>
      </c>
      <c r="K531" t="e">
        <f>VLOOKUP(B531,'REGISTRO ABONOS'!$B$8:$BC$10012,54,0)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J532">
        <f t="shared" si="10"/>
        <v>105000</v>
      </c>
      <c r="K532" t="e">
        <f>VLOOKUP(B532,'REGISTRO ABONOS'!$B$8:$BC$10012,54,0)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J533">
        <f t="shared" si="10"/>
        <v>105000</v>
      </c>
      <c r="K533" t="e">
        <f>VLOOKUP(B533,'REGISTRO ABONOS'!$B$8:$BC$10012,54,0)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J534">
        <f t="shared" si="10"/>
        <v>105000</v>
      </c>
      <c r="K534" t="e">
        <f>VLOOKUP(B534,'REGISTRO ABONOS'!$B$8:$BC$10012,54,0)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J535">
        <f t="shared" si="10"/>
        <v>105000</v>
      </c>
      <c r="K535" t="e">
        <f>VLOOKUP(B535,'REGISTRO ABONOS'!$B$8:$BC$10012,54,0)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J536">
        <f t="shared" si="10"/>
        <v>105000</v>
      </c>
      <c r="K536" t="e">
        <f>VLOOKUP(B536,'REGISTRO ABONOS'!$B$8:$BC$10012,54,0)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J537">
        <f t="shared" si="10"/>
        <v>105000</v>
      </c>
      <c r="K537" t="e">
        <f>VLOOKUP(B537,'REGISTRO ABONOS'!$B$8:$BC$10012,54,0)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J538">
        <f t="shared" si="10"/>
        <v>105000</v>
      </c>
      <c r="K538" t="e">
        <f>VLOOKUP(B538,'REGISTRO ABONOS'!$B$8:$BC$10012,54,0)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J539">
        <f t="shared" si="10"/>
        <v>105000</v>
      </c>
      <c r="K539" t="e">
        <f>VLOOKUP(B539,'REGISTRO ABONOS'!$B$8:$BC$10012,54,0)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10"/>
        <v>105000</v>
      </c>
      <c r="K540" t="e">
        <f>VLOOKUP(B540,'REGISTRO ABONOS'!$B$8:$BC$10012,54,0)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10"/>
        <v>105000</v>
      </c>
      <c r="K541" t="e">
        <f>VLOOKUP(B541,'REGISTRO ABONOS'!$B$8:$BC$10012,54,0)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J542">
        <f t="shared" si="10"/>
        <v>105000</v>
      </c>
      <c r="K542" t="e">
        <f>VLOOKUP(B542,'REGISTRO ABONOS'!$B$8:$BC$10012,54,0)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10"/>
        <v>105000</v>
      </c>
      <c r="K543" t="e">
        <f>VLOOKUP(B543,'REGISTRO ABONOS'!$B$8:$BC$10012,54,0)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10"/>
        <v>105000</v>
      </c>
      <c r="K544" t="e">
        <f>VLOOKUP(B544,'REGISTRO ABONOS'!$B$8:$BC$10012,54,0)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J545">
        <f t="shared" si="10"/>
        <v>105000</v>
      </c>
      <c r="K545" t="e">
        <f>VLOOKUP(B545,'REGISTRO ABONOS'!$B$8:$BC$10012,54,0)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J546">
        <f t="shared" si="10"/>
        <v>105000</v>
      </c>
      <c r="K546" t="e">
        <f>VLOOKUP(B546,'REGISTRO ABONOS'!$B$8:$BC$10012,54,0)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10"/>
        <v>105000</v>
      </c>
      <c r="K547" t="e">
        <f>VLOOKUP(B547,'REGISTRO ABONOS'!$B$8:$BC$10012,54,0)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10"/>
        <v>105000</v>
      </c>
      <c r="K548" t="e">
        <f>VLOOKUP(B548,'REGISTRO ABONOS'!$B$8:$BC$10012,54,0)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10"/>
        <v>105000</v>
      </c>
      <c r="K549" t="e">
        <f>VLOOKUP(B549,'REGISTRO ABONOS'!$B$8:$BC$10012,54,0)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10"/>
        <v>105000</v>
      </c>
      <c r="K550" t="e">
        <f>VLOOKUP(B550,'REGISTRO ABONOS'!$B$8:$BC$10012,54,0)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10"/>
        <v>105000</v>
      </c>
      <c r="K551" t="e">
        <f>VLOOKUP(B551,'REGISTRO ABONOS'!$B$8:$BC$10012,54,0)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J552">
        <f t="shared" si="10"/>
        <v>105000</v>
      </c>
      <c r="K552" t="e">
        <f>VLOOKUP(B552,'REGISTRO ABONOS'!$B$8:$BC$10012,54,0)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10"/>
        <v>105000</v>
      </c>
      <c r="K553" t="e">
        <f>VLOOKUP(B553,'REGISTRO ABONOS'!$B$8:$BC$10012,54,0)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10"/>
        <v>105000</v>
      </c>
      <c r="K554" t="e">
        <f>VLOOKUP(B554,'REGISTRO ABONOS'!$B$8:$BC$10012,54,0)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10"/>
        <v>105000</v>
      </c>
      <c r="K555" t="e">
        <f>VLOOKUP(B555,'REGISTRO ABONOS'!$B$8:$BC$10012,54,0)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J556">
        <f t="shared" si="10"/>
        <v>105000</v>
      </c>
      <c r="K556" t="e">
        <f>VLOOKUP(B556,'REGISTRO ABONOS'!$B$8:$BC$10012,54,0)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ABONOS'!$B$8:$BC$10012,54,0)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J558">
        <f t="shared" si="11"/>
        <v>105000</v>
      </c>
      <c r="K558" t="e">
        <f>VLOOKUP(B558,'REGISTRO ABONOS'!$B$8:$BC$10012,54,0)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J559">
        <f t="shared" si="11"/>
        <v>105000</v>
      </c>
      <c r="K559" t="e">
        <f>VLOOKUP(B559,'REGISTRO ABONOS'!$B$8:$BC$10012,54,0)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J560">
        <f t="shared" si="11"/>
        <v>105000</v>
      </c>
      <c r="K560" t="e">
        <f>VLOOKUP(B560,'REGISTRO ABONOS'!$B$8:$BC$10012,54,0)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1"/>
        <v>105000</v>
      </c>
      <c r="K561" t="e">
        <f>VLOOKUP(B561,'REGISTRO ABONOS'!$B$8:$BC$10012,54,0)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1"/>
        <v>105000</v>
      </c>
      <c r="K562" t="e">
        <f>VLOOKUP(B562,'REGISTRO ABONOS'!$B$8:$BC$10012,54,0)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1"/>
        <v>105000</v>
      </c>
      <c r="K563" t="e">
        <f>VLOOKUP(B563,'REGISTRO ABONOS'!$B$8:$BC$10012,54,0)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1"/>
        <v>105000</v>
      </c>
      <c r="K564" t="e">
        <f>VLOOKUP(B564,'REGISTRO ABONOS'!$B$8:$BC$10012,54,0)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1"/>
        <v>105000</v>
      </c>
      <c r="K565" t="e">
        <f>VLOOKUP(B565,'REGISTRO ABONOS'!$B$8:$BC$10012,54,0)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1"/>
        <v>105000</v>
      </c>
      <c r="K566" t="e">
        <f>VLOOKUP(B566,'REGISTRO ABONOS'!$B$8:$BC$10012,54,0)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1"/>
        <v>105000</v>
      </c>
      <c r="K567" t="e">
        <f>VLOOKUP(B567,'REGISTRO ABONOS'!$B$8:$BC$10012,54,0)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1"/>
        <v>105000</v>
      </c>
      <c r="K568" t="e">
        <f>VLOOKUP(B568,'REGISTRO ABONOS'!$B$8:$BC$10012,54,0)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1"/>
        <v>105000</v>
      </c>
      <c r="K569" t="e">
        <f>VLOOKUP(B569,'REGISTRO ABONOS'!$B$8:$BC$10012,54,0)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J570">
        <f t="shared" si="11"/>
        <v>105000</v>
      </c>
      <c r="K570" t="e">
        <f>VLOOKUP(B570,'REGISTRO ABONOS'!$B$8:$BC$10012,54,0)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1"/>
        <v>105000</v>
      </c>
      <c r="K571" t="e">
        <f>VLOOKUP(B571,'REGISTRO ABONOS'!$B$8:$BC$10012,54,0)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1"/>
        <v>105000</v>
      </c>
      <c r="K572" t="e">
        <f>VLOOKUP(B572,'REGISTRO ABONOS'!$B$8:$BC$10012,54,0)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1"/>
        <v>105000</v>
      </c>
      <c r="K573" t="e">
        <f>VLOOKUP(B573,'REGISTRO ABONOS'!$B$8:$BC$10012,54,0)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1"/>
        <v>105000</v>
      </c>
      <c r="K574" t="e">
        <f>VLOOKUP(B574,'REGISTRO ABONOS'!$B$8:$BC$10012,54,0)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1"/>
        <v>105000</v>
      </c>
      <c r="K575" t="e">
        <f>VLOOKUP(B575,'REGISTRO ABONOS'!$B$8:$BC$10012,54,0)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1"/>
        <v>105000</v>
      </c>
      <c r="K576" t="e">
        <f>VLOOKUP(B576,'REGISTRO ABONOS'!$B$8:$BC$10012,54,0)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J577">
        <f t="shared" si="11"/>
        <v>105000</v>
      </c>
      <c r="K577" t="e">
        <f>VLOOKUP(B577,'REGISTRO ABONOS'!$B$8:$BC$10012,54,0)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1"/>
        <v>105000</v>
      </c>
      <c r="K578" t="e">
        <f>VLOOKUP(B578,'REGISTRO ABONOS'!$B$8:$BC$10012,54,0)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J579">
        <f t="shared" si="11"/>
        <v>105000</v>
      </c>
      <c r="K579" t="e">
        <f>VLOOKUP(B579,'REGISTRO ABONOS'!$B$8:$BC$10012,54,0)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1"/>
        <v>105000</v>
      </c>
      <c r="K580" t="e">
        <f>VLOOKUP(B580,'REGISTRO ABONOS'!$B$8:$BC$10012,54,0)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1"/>
        <v>105000</v>
      </c>
      <c r="K581" t="e">
        <f>VLOOKUP(B581,'REGISTRO ABONOS'!$B$8:$BC$10012,54,0)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1"/>
        <v>105000</v>
      </c>
      <c r="K582" t="e">
        <f>VLOOKUP(B582,'REGISTRO ABONOS'!$B$8:$BC$10012,54,0)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1"/>
        <v>105000</v>
      </c>
      <c r="K583" t="e">
        <f>VLOOKUP(B583,'REGISTRO ABONOS'!$B$8:$BC$10012,54,0)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1"/>
        <v>105000</v>
      </c>
      <c r="K584" t="e">
        <f>VLOOKUP(B584,'REGISTRO ABONOS'!$B$8:$BC$10012,54,0)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1"/>
        <v>105000</v>
      </c>
      <c r="K585" t="e">
        <f>VLOOKUP(B585,'REGISTRO ABONOS'!$B$8:$BC$10012,54,0)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1"/>
        <v>105000</v>
      </c>
      <c r="K586" t="e">
        <f>VLOOKUP(B586,'REGISTRO ABONOS'!$B$8:$BC$10012,54,0)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1"/>
        <v>105000</v>
      </c>
      <c r="K587" t="e">
        <f>VLOOKUP(B587,'REGISTRO ABONOS'!$B$8:$BC$10012,54,0)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J588">
        <f t="shared" si="11"/>
        <v>105000</v>
      </c>
      <c r="K588" t="e">
        <f>VLOOKUP(B588,'REGISTRO ABONOS'!$B$8:$BC$10012,54,0)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ABONOS'!$B$8:$BC$10012,54,0)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J590">
        <f t="shared" si="12"/>
        <v>105000</v>
      </c>
      <c r="K590" t="e">
        <f>VLOOKUP(B590,'REGISTRO ABONOS'!$B$8:$BC$10012,54,0)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J591">
        <f t="shared" si="12"/>
        <v>105000</v>
      </c>
      <c r="K591" t="e">
        <f>VLOOKUP(B591,'REGISTRO ABONOS'!$B$8:$BC$10012,54,0)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2"/>
        <v>105000</v>
      </c>
      <c r="K592" t="e">
        <f>VLOOKUP(B592,'REGISTRO ABONOS'!$B$8:$BC$10012,54,0)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2"/>
        <v>105000</v>
      </c>
      <c r="K593" t="e">
        <f>VLOOKUP(B593,'REGISTRO ABONOS'!$B$8:$BC$10012,54,0)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2"/>
        <v>105000</v>
      </c>
      <c r="K594" t="e">
        <f>VLOOKUP(B594,'REGISTRO ABONOS'!$B$8:$BC$10012,54,0)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J595">
        <f t="shared" si="12"/>
        <v>105000</v>
      </c>
      <c r="K595" t="e">
        <f>VLOOKUP(B595,'REGISTRO ABONOS'!$B$8:$BC$10012,54,0)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J596">
        <f t="shared" si="12"/>
        <v>105000</v>
      </c>
      <c r="K596" t="e">
        <f>VLOOKUP(B596,'REGISTRO ABONOS'!$B$8:$BC$10012,54,0)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J597">
        <f t="shared" si="12"/>
        <v>105000</v>
      </c>
      <c r="K597" t="e">
        <f>VLOOKUP(B597,'REGISTRO ABONOS'!$B$8:$BC$10012,54,0)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J598">
        <f t="shared" si="12"/>
        <v>105000</v>
      </c>
      <c r="K598" t="e">
        <f>VLOOKUP(B598,'REGISTRO ABONOS'!$B$8:$BC$10012,54,0)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2"/>
        <v>105000</v>
      </c>
      <c r="K599" t="e">
        <f>VLOOKUP(B599,'REGISTRO ABONOS'!$B$8:$BC$10012,54,0)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2"/>
        <v>105000</v>
      </c>
      <c r="K600" t="e">
        <f>VLOOKUP(B600,'REGISTRO ABONOS'!$B$8:$BC$10012,54,0)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2"/>
        <v>105000</v>
      </c>
      <c r="K601" t="e">
        <f>VLOOKUP(B601,'REGISTRO ABONOS'!$B$8:$BC$10012,54,0)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J602">
        <f t="shared" si="12"/>
        <v>105000</v>
      </c>
      <c r="K602" t="e">
        <f>VLOOKUP(B602,'REGISTRO ABONOS'!$B$8:$BC$10012,54,0)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2"/>
        <v>105000</v>
      </c>
      <c r="K603" t="e">
        <f>VLOOKUP(B603,'REGISTRO ABONOS'!$B$8:$BC$10012,54,0)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2"/>
        <v>105000</v>
      </c>
      <c r="K604" t="e">
        <f>VLOOKUP(B604,'REGISTRO ABONOS'!$B$8:$BC$10012,54,0)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2"/>
        <v>105000</v>
      </c>
      <c r="K605" t="e">
        <f>VLOOKUP(B605,'REGISTRO ABONOS'!$B$8:$BC$10012,54,0)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2"/>
        <v>105000</v>
      </c>
      <c r="K606" t="e">
        <f>VLOOKUP(B606,'REGISTRO ABONOS'!$B$8:$BC$10012,54,0)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2"/>
        <v>105000</v>
      </c>
      <c r="K607" t="e">
        <f>VLOOKUP(B607,'REGISTRO ABONOS'!$B$8:$BC$10012,54,0)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2"/>
        <v>105000</v>
      </c>
      <c r="K608" t="e">
        <f>VLOOKUP(B608,'REGISTRO ABONOS'!$B$8:$BC$10012,54,0)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J609">
        <f t="shared" si="12"/>
        <v>105000</v>
      </c>
      <c r="K609" t="e">
        <f>VLOOKUP(B609,'REGISTRO ABONOS'!$B$8:$BC$10012,54,0)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J610">
        <f t="shared" si="12"/>
        <v>105000</v>
      </c>
      <c r="K610" t="e">
        <f>VLOOKUP(B610,'REGISTRO ABONOS'!$B$8:$BC$10012,54,0)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J611">
        <f t="shared" si="12"/>
        <v>105000</v>
      </c>
      <c r="K611" t="e">
        <f>VLOOKUP(B611,'REGISTRO ABONOS'!$B$8:$BC$10012,54,0)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2"/>
        <v>105000</v>
      </c>
      <c r="K612" t="e">
        <f>VLOOKUP(B612,'REGISTRO ABONOS'!$B$8:$BC$10012,54,0)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2"/>
        <v>105000</v>
      </c>
      <c r="K613" t="e">
        <f>VLOOKUP(B613,'REGISTRO ABONOS'!$B$8:$BC$10012,54,0)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2"/>
        <v>105000</v>
      </c>
      <c r="K614" t="e">
        <f>VLOOKUP(B614,'REGISTRO ABONOS'!$B$8:$BC$10012,54,0)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2"/>
        <v>105000</v>
      </c>
      <c r="K615" t="e">
        <f>VLOOKUP(B615,'REGISTRO ABONOS'!$B$8:$BC$10012,54,0)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2"/>
        <v>105000</v>
      </c>
      <c r="K616" t="e">
        <f>VLOOKUP(B616,'REGISTRO ABONOS'!$B$8:$BC$10012,54,0)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2"/>
        <v>105000</v>
      </c>
      <c r="K617" t="e">
        <f>VLOOKUP(B617,'REGISTRO ABONOS'!$B$8:$BC$10012,54,0)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J618">
        <f t="shared" si="12"/>
        <v>105000</v>
      </c>
      <c r="K618" t="e">
        <f>VLOOKUP(B618,'REGISTRO ABONOS'!$B$8:$BC$10012,54,0)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J619">
        <f t="shared" si="12"/>
        <v>105000</v>
      </c>
      <c r="K619" t="e">
        <f>VLOOKUP(B619,'REGISTRO ABONOS'!$B$8:$BC$10012,54,0)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J620">
        <f t="shared" si="12"/>
        <v>105000</v>
      </c>
      <c r="K620" t="e">
        <f>VLOOKUP(B620,'REGISTRO ABONOS'!$B$8:$BC$10012,54,0)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ABONOS'!$B$8:$BC$10012,54,0)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3"/>
        <v>105000</v>
      </c>
      <c r="K622" t="e">
        <f>VLOOKUP(B622,'REGISTRO ABONOS'!$B$8:$BC$10012,54,0)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J623">
        <f t="shared" si="13"/>
        <v>105000</v>
      </c>
      <c r="K623" t="e">
        <f>VLOOKUP(B623,'REGISTRO ABONOS'!$B$8:$BC$10012,54,0)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J624">
        <f t="shared" si="13"/>
        <v>105000</v>
      </c>
      <c r="K624" t="e">
        <f>VLOOKUP(B624,'REGISTRO ABONOS'!$B$8:$BC$10012,54,0)</f>
        <v>#N/A</v>
      </c>
      <c r="L624" t="e">
        <f>IF(Tabla26[[#This Row],[VALOR RESTANTE]]&lt;Tabla26[[#This Row],[VALOR]],"NO DISPONIBLE","DISPONIBLE")</f>
        <v>#N/A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3"/>
        <v>105000</v>
      </c>
      <c r="K625" t="e">
        <f>VLOOKUP(B625,'REGISTRO ABONOS'!$B$8:$BC$10012,54,0)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J626">
        <f t="shared" si="13"/>
        <v>105000</v>
      </c>
      <c r="K626" t="e">
        <f>VLOOKUP(B626,'REGISTRO ABONOS'!$B$8:$BC$10012,54,0)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J627">
        <f t="shared" si="13"/>
        <v>105000</v>
      </c>
      <c r="K627" t="e">
        <f>VLOOKUP(B627,'REGISTRO ABONOS'!$B$8:$BC$10012,54,0)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J628">
        <f t="shared" si="13"/>
        <v>105000</v>
      </c>
      <c r="K628" t="e">
        <f>VLOOKUP(B628,'REGISTRO ABONOS'!$B$8:$BC$10012,54,0)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3"/>
        <v>105000</v>
      </c>
      <c r="K629" t="e">
        <f>VLOOKUP(B629,'REGISTRO ABONOS'!$B$8:$BC$10012,54,0)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3"/>
        <v>105000</v>
      </c>
      <c r="K630" t="e">
        <f>VLOOKUP(B630,'REGISTRO ABONOS'!$B$8:$BC$10012,54,0)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3"/>
        <v>105000</v>
      </c>
      <c r="K631" t="e">
        <f>VLOOKUP(B631,'REGISTRO ABONOS'!$B$8:$BC$10012,54,0)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3"/>
        <v>105000</v>
      </c>
      <c r="K632" t="e">
        <f>VLOOKUP(B632,'REGISTRO ABONOS'!$B$8:$BC$10012,54,0)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J633">
        <f t="shared" si="13"/>
        <v>105000</v>
      </c>
      <c r="K633" t="e">
        <f>VLOOKUP(B633,'REGISTRO ABONOS'!$B$8:$BC$10012,54,0)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3"/>
        <v>105000</v>
      </c>
      <c r="K634" t="e">
        <f>VLOOKUP(B634,'REGISTRO ABONOS'!$B$8:$BC$10012,54,0)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3"/>
        <v>105000</v>
      </c>
      <c r="K635" t="e">
        <f>VLOOKUP(B635,'REGISTRO ABONOS'!$B$8:$BC$10012,54,0)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J636">
        <f t="shared" si="13"/>
        <v>105000</v>
      </c>
      <c r="K636" t="e">
        <f>VLOOKUP(B636,'REGISTRO ABONOS'!$B$8:$BC$10012,54,0)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3"/>
        <v>105000</v>
      </c>
      <c r="K637" t="e">
        <f>VLOOKUP(B637,'REGISTRO ABONOS'!$B$8:$BC$10012,54,0)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J638">
        <f t="shared" si="13"/>
        <v>105000</v>
      </c>
      <c r="K638" t="e">
        <f>VLOOKUP(B638,'REGISTRO ABONOS'!$B$8:$BC$10012,54,0)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J639">
        <f t="shared" si="13"/>
        <v>105000</v>
      </c>
      <c r="K639" t="e">
        <f>VLOOKUP(B639,'REGISTRO ABONOS'!$B$8:$BC$10012,54,0)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3"/>
        <v>105000</v>
      </c>
      <c r="K640" t="e">
        <f>VLOOKUP(B640,'REGISTRO ABONOS'!$B$8:$BC$10012,54,0)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3"/>
        <v>105000</v>
      </c>
      <c r="K641" t="e">
        <f>VLOOKUP(B641,'REGISTRO ABONOS'!$B$8:$BC$10012,54,0)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3"/>
        <v>105000</v>
      </c>
      <c r="K642" t="e">
        <f>VLOOKUP(B642,'REGISTRO ABONOS'!$B$8:$BC$10012,54,0)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J643">
        <f t="shared" si="13"/>
        <v>105000</v>
      </c>
      <c r="K643" t="e">
        <f>VLOOKUP(B643,'REGISTRO ABONOS'!$B$8:$BC$10012,54,0)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3"/>
        <v>105000</v>
      </c>
      <c r="K644" t="e">
        <f>VLOOKUP(B644,'REGISTRO ABONOS'!$B$8:$BC$10012,54,0)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3"/>
        <v>105000</v>
      </c>
      <c r="K645" t="e">
        <f>VLOOKUP(B645,'REGISTRO ABONOS'!$B$8:$BC$10012,54,0)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3"/>
        <v>105000</v>
      </c>
      <c r="K646" t="e">
        <f>VLOOKUP(B646,'REGISTRO ABONOS'!$B$8:$BC$10012,54,0)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3"/>
        <v>105000</v>
      </c>
      <c r="K647" t="e">
        <f>VLOOKUP(B647,'REGISTRO ABONOS'!$B$8:$BC$10012,54,0)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3"/>
        <v>105000</v>
      </c>
      <c r="K648" t="e">
        <f>VLOOKUP(B648,'REGISTRO ABONOS'!$B$8:$BC$10012,54,0)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J649">
        <f t="shared" si="13"/>
        <v>105000</v>
      </c>
      <c r="K649" t="e">
        <f>VLOOKUP(B649,'REGISTRO ABONOS'!$B$8:$BC$10012,54,0)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J650">
        <f t="shared" si="13"/>
        <v>105000</v>
      </c>
      <c r="K650" t="e">
        <f>VLOOKUP(B650,'REGISTRO ABONOS'!$B$8:$BC$10012,54,0)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3"/>
        <v>105000</v>
      </c>
      <c r="K651" t="e">
        <f>VLOOKUP(B651,'REGISTRO ABONOS'!$B$8:$BC$10012,54,0)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3"/>
        <v>105000</v>
      </c>
      <c r="K652" t="e">
        <f>VLOOKUP(B652,'REGISTRO ABONOS'!$B$8:$BC$10012,54,0)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ABONOS'!$B$8:$BC$10012,54,0)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4"/>
        <v>105000</v>
      </c>
      <c r="K654" t="e">
        <f>VLOOKUP(B654,'REGISTRO ABONOS'!$B$8:$BC$10012,54,0)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4"/>
        <v>105000</v>
      </c>
      <c r="K655" t="e">
        <f>VLOOKUP(B655,'REGISTRO ABONOS'!$B$8:$BC$10012,54,0)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J656">
        <f t="shared" si="14"/>
        <v>105000</v>
      </c>
      <c r="K656" t="e">
        <f>VLOOKUP(B656,'REGISTRO ABONOS'!$B$8:$BC$10012,54,0)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J657">
        <f t="shared" si="14"/>
        <v>105000</v>
      </c>
      <c r="K657" t="e">
        <f>VLOOKUP(B657,'REGISTRO ABONOS'!$B$8:$BC$10012,54,0)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J658">
        <f t="shared" si="14"/>
        <v>105000</v>
      </c>
      <c r="K658" t="e">
        <f>VLOOKUP(B658,'REGISTRO ABONOS'!$B$8:$BC$10012,54,0)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J659">
        <f t="shared" si="14"/>
        <v>105000</v>
      </c>
      <c r="K659" t="e">
        <f>VLOOKUP(B659,'REGISTRO ABONOS'!$B$8:$BC$10012,54,0)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J660">
        <f t="shared" si="14"/>
        <v>105000</v>
      </c>
      <c r="K660" t="e">
        <f>VLOOKUP(B660,'REGISTRO ABONOS'!$B$8:$BC$10012,54,0)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4"/>
        <v>105000</v>
      </c>
      <c r="K661" t="e">
        <f>VLOOKUP(B661,'REGISTRO ABONOS'!$B$8:$BC$10012,54,0)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ABONOS'!$B$8:$BC$10012,54,0)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J663">
        <f t="shared" si="15"/>
        <v>105000</v>
      </c>
      <c r="K663" t="e">
        <f>VLOOKUP(B663,'REGISTRO ABONOS'!$B$8:$BC$10012,54,0)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J664">
        <f t="shared" si="15"/>
        <v>105000</v>
      </c>
      <c r="K664" t="e">
        <f>VLOOKUP(B664,'REGISTRO ABONOS'!$B$8:$BC$10012,54,0)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5"/>
        <v>105000</v>
      </c>
      <c r="K665" t="e">
        <f>VLOOKUP(B665,'REGISTRO ABONOS'!$B$8:$BC$10012,54,0)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5"/>
        <v>105000</v>
      </c>
      <c r="K666" t="e">
        <f>VLOOKUP(B666,'REGISTRO ABONOS'!$B$8:$BC$10012,54,0)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J667">
        <f t="shared" si="15"/>
        <v>105000</v>
      </c>
      <c r="K667" t="e">
        <f>VLOOKUP(B667,'REGISTRO ABONOS'!$B$8:$BC$10012,54,0)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5"/>
        <v>105000</v>
      </c>
      <c r="K668" t="e">
        <f>VLOOKUP(B668,'REGISTRO ABONOS'!$B$8:$BC$10012,54,0)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5"/>
        <v>105000</v>
      </c>
      <c r="K669" t="e">
        <f>VLOOKUP(B669,'REGISTRO ABONOS'!$B$8:$BC$10012,54,0)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5"/>
        <v>105000</v>
      </c>
      <c r="K670" t="e">
        <f>VLOOKUP(B670,'REGISTRO ABONOS'!$B$8:$BC$10012,54,0)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5"/>
        <v>105000</v>
      </c>
      <c r="K671" t="e">
        <f>VLOOKUP(B671,'REGISTRO ABONOS'!$B$8:$BC$10012,54,0)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5"/>
        <v>105000</v>
      </c>
      <c r="K672" t="e">
        <f>VLOOKUP(B672,'REGISTRO ABONOS'!$B$8:$BC$10012,54,0)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5"/>
        <v>105000</v>
      </c>
      <c r="K673" t="e">
        <f>VLOOKUP(B673,'REGISTRO ABONOS'!$B$8:$BC$10012,54,0)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5"/>
        <v>105000</v>
      </c>
      <c r="K674" t="e">
        <f>VLOOKUP(B674,'REGISTRO ABONOS'!$B$8:$BC$10012,54,0)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5"/>
        <v>105000</v>
      </c>
      <c r="K675" t="e">
        <f>VLOOKUP(B675,'REGISTRO ABONOS'!$B$8:$BC$10012,54,0)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5"/>
        <v>105000</v>
      </c>
      <c r="K676" t="e">
        <f>VLOOKUP(B676,'REGISTRO ABONOS'!$B$8:$BC$10012,54,0)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5"/>
        <v>105000</v>
      </c>
      <c r="K677" t="e">
        <f>VLOOKUP(B677,'REGISTRO ABONOS'!$B$8:$BC$10012,54,0)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5"/>
        <v>105000</v>
      </c>
      <c r="K678" t="e">
        <f>VLOOKUP(B678,'REGISTRO ABONOS'!$B$8:$BC$10012,54,0)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5"/>
        <v>105000</v>
      </c>
      <c r="K679" t="e">
        <f>VLOOKUP(B679,'REGISTRO ABONOS'!$B$8:$BC$10012,54,0)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5"/>
        <v>105000</v>
      </c>
      <c r="K680" t="e">
        <f>VLOOKUP(B680,'REGISTRO ABONOS'!$B$8:$BC$10012,54,0)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5"/>
        <v>105000</v>
      </c>
      <c r="K681" t="e">
        <f>VLOOKUP(B681,'REGISTRO ABONOS'!$B$8:$BC$10012,54,0)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5"/>
        <v>105000</v>
      </c>
      <c r="K682" t="e">
        <f>VLOOKUP(B682,'REGISTRO ABONOS'!$B$8:$BC$10012,54,0)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5"/>
        <v>105000</v>
      </c>
      <c r="K683" t="e">
        <f>VLOOKUP(B683,'REGISTRO ABONOS'!$B$8:$BC$10012,54,0)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J684">
        <f t="shared" si="15"/>
        <v>105000</v>
      </c>
      <c r="K684" t="e">
        <f>VLOOKUP(B684,'REGISTRO ABONOS'!$B$8:$BC$10012,54,0)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J685">
        <f t="shared" si="15"/>
        <v>105000</v>
      </c>
      <c r="K685" t="e">
        <f>VLOOKUP(B685,'REGISTRO ABONOS'!$B$8:$BC$10012,54,0)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J686">
        <f t="shared" si="15"/>
        <v>105000</v>
      </c>
      <c r="K686" t="e">
        <f>VLOOKUP(B686,'REGISTRO ABONOS'!$B$8:$BC$10012,54,0)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J687">
        <f t="shared" si="15"/>
        <v>105000</v>
      </c>
      <c r="K687" t="e">
        <f>VLOOKUP(B687,'REGISTRO ABONOS'!$B$8:$BC$10012,54,0)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J688">
        <f t="shared" si="15"/>
        <v>105000</v>
      </c>
      <c r="K688" t="e">
        <f>VLOOKUP(B688,'REGISTRO ABONOS'!$B$8:$BC$10012,54,0)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5"/>
        <v>105000</v>
      </c>
      <c r="K689" t="e">
        <f>VLOOKUP(B689,'REGISTRO ABONOS'!$B$8:$BC$10012,54,0)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5"/>
        <v>105000</v>
      </c>
      <c r="K690" t="e">
        <f>VLOOKUP(B690,'REGISTRO ABONOS'!$B$8:$BC$10012,54,0)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J691">
        <f t="shared" si="15"/>
        <v>105000</v>
      </c>
      <c r="K691" t="e">
        <f>VLOOKUP(B691,'REGISTRO ABONOS'!$B$8:$BC$10012,54,0)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5"/>
        <v>105000</v>
      </c>
      <c r="K692" t="e">
        <f>VLOOKUP(B692,'REGISTRO ABONOS'!$B$8:$BC$10012,54,0)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5"/>
        <v>105000</v>
      </c>
      <c r="K693" t="e">
        <f>VLOOKUP(B693,'REGISTRO ABONOS'!$B$8:$BC$10012,54,0)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5"/>
        <v>105000</v>
      </c>
      <c r="K694" t="e">
        <f>VLOOKUP(B694,'REGISTRO ABONOS'!$B$8:$BC$10012,54,0)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5"/>
        <v>105000</v>
      </c>
      <c r="K695" t="e">
        <f>VLOOKUP(B695,'REGISTRO ABONOS'!$B$8:$BC$10012,54,0)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5"/>
        <v>105000</v>
      </c>
      <c r="K696" t="e">
        <f>VLOOKUP(B696,'REGISTRO ABONOS'!$B$8:$BC$10012,54,0)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5"/>
        <v>105000</v>
      </c>
      <c r="K697" t="e">
        <f>VLOOKUP(B697,'REGISTRO ABONOS'!$B$8:$BC$10012,54,0)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5"/>
        <v>105000</v>
      </c>
      <c r="K698" t="e">
        <f>VLOOKUP(B698,'REGISTRO ABONOS'!$B$8:$BC$10012,54,0)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J699">
        <f t="shared" si="15"/>
        <v>105000</v>
      </c>
      <c r="K699" t="e">
        <f>VLOOKUP(B699,'REGISTRO ABONOS'!$B$8:$BC$10012,54,0)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5"/>
        <v>105000</v>
      </c>
      <c r="K700" t="e">
        <f>VLOOKUP(B700,'REGISTRO ABONOS'!$B$8:$BC$10012,54,0)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5"/>
        <v>105000</v>
      </c>
      <c r="K701" t="e">
        <f>VLOOKUP(B701,'REGISTRO ABONOS'!$B$8:$BC$10012,54,0)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J702">
        <f t="shared" si="15"/>
        <v>105000</v>
      </c>
      <c r="K702" t="e">
        <f>VLOOKUP(B702,'REGISTRO ABONOS'!$B$8:$BC$10012,54,0)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J703">
        <f t="shared" si="15"/>
        <v>105000</v>
      </c>
      <c r="K703" t="e">
        <f>VLOOKUP(B703,'REGISTRO ABONOS'!$B$8:$BC$10012,54,0)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5"/>
        <v>105000</v>
      </c>
      <c r="K704" t="e">
        <f>VLOOKUP(B704,'REGISTRO ABONOS'!$B$8:$BC$10012,54,0)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5"/>
        <v>105000</v>
      </c>
      <c r="K705" t="e">
        <f>VLOOKUP(B705,'REGISTRO ABONOS'!$B$8:$BC$10012,54,0)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5"/>
        <v>105000</v>
      </c>
      <c r="K706" t="e">
        <f>VLOOKUP(B706,'REGISTRO ABONOS'!$B$8:$BC$10012,54,0)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5"/>
        <v>105000</v>
      </c>
      <c r="K707" t="e">
        <f>VLOOKUP(B707,'REGISTRO ABONOS'!$B$8:$BC$10012,54,0)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5"/>
        <v>105000</v>
      </c>
      <c r="K708" t="e">
        <f>VLOOKUP(B708,'REGISTRO ABONOS'!$B$8:$BC$10012,54,0)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J709">
        <f t="shared" si="15"/>
        <v>105000</v>
      </c>
      <c r="K709" t="e">
        <f>VLOOKUP(B709,'REGISTRO ABONOS'!$B$8:$BC$10012,54,0)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J710">
        <f t="shared" si="15"/>
        <v>105000</v>
      </c>
      <c r="K710" t="e">
        <f>VLOOKUP(B710,'REGISTRO ABONOS'!$B$8:$BC$10012,54,0)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5"/>
        <v>105000</v>
      </c>
      <c r="K711" t="e">
        <f>VLOOKUP(B711,'REGISTRO ABONOS'!$B$8:$BC$10012,54,0)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5"/>
        <v>105000</v>
      </c>
      <c r="K712" t="e">
        <f>VLOOKUP(B712,'REGISTRO ABONOS'!$B$8:$BC$10012,54,0)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5"/>
        <v>105000</v>
      </c>
      <c r="K713" t="e">
        <f>VLOOKUP(B713,'REGISTRO ABONOS'!$B$8:$BC$10012,54,0)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5"/>
        <v>105000</v>
      </c>
      <c r="K714" t="e">
        <f>VLOOKUP(B714,'REGISTRO ABONOS'!$B$8:$BC$10012,54,0)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5"/>
        <v>105000</v>
      </c>
      <c r="K715" t="e">
        <f>VLOOKUP(B715,'REGISTRO ABONOS'!$B$8:$BC$10012,54,0)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J716">
        <f t="shared" si="15"/>
        <v>105000</v>
      </c>
      <c r="K716" t="e">
        <f>VLOOKUP(B716,'REGISTRO ABONOS'!$B$8:$BC$10012,54,0)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5"/>
        <v>105000</v>
      </c>
      <c r="K717" t="e">
        <f>VLOOKUP(B717,'REGISTRO ABONOS'!$B$8:$BC$10012,54,0)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5"/>
        <v>105000</v>
      </c>
      <c r="K718" t="e">
        <f>VLOOKUP(B718,'REGISTRO ABONOS'!$B$8:$BC$10012,54,0)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J719">
        <f t="shared" si="15"/>
        <v>105000</v>
      </c>
      <c r="K719" t="e">
        <f>VLOOKUP(B719,'REGISTRO ABONOS'!$B$8:$BC$10012,54,0)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5"/>
        <v>105000</v>
      </c>
      <c r="K720" t="e">
        <f>VLOOKUP(B720,'REGISTRO ABONOS'!$B$8:$BC$10012,54,0)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J721">
        <f t="shared" si="15"/>
        <v>105000</v>
      </c>
      <c r="K721" t="e">
        <f>VLOOKUP(B721,'REGISTRO ABONOS'!$B$8:$BC$10012,54,0)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J722">
        <f t="shared" si="15"/>
        <v>105000</v>
      </c>
      <c r="K722" t="e">
        <f>VLOOKUP(B722,'REGISTRO ABONOS'!$B$8:$BC$10012,54,0)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J723">
        <f t="shared" si="15"/>
        <v>105000</v>
      </c>
      <c r="K723" t="e">
        <f>VLOOKUP(B723,'REGISTRO ABONOS'!$B$8:$BC$10012,54,0)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J724">
        <f t="shared" si="15"/>
        <v>105000</v>
      </c>
      <c r="K724" t="e">
        <f>VLOOKUP(B724,'REGISTRO ABONOS'!$B$8:$BC$10012,54,0)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5"/>
        <v>105000</v>
      </c>
      <c r="K725" t="e">
        <f>VLOOKUP(B725,'REGISTRO ABONOS'!$B$8:$BC$10012,54,0)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ABONOS'!$B$8:$BC$10012,54,0)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6"/>
        <v>105000</v>
      </c>
      <c r="K727" t="e">
        <f>VLOOKUP(B727,'REGISTRO ABONOS'!$B$8:$BC$10012,54,0)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6"/>
        <v>105000</v>
      </c>
      <c r="K728" t="e">
        <f>VLOOKUP(B728,'REGISTRO ABONOS'!$B$8:$BC$10012,54,0)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6"/>
        <v>105000</v>
      </c>
      <c r="K729" t="e">
        <f>VLOOKUP(B729,'REGISTRO ABONOS'!$B$8:$BC$10012,54,0)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6"/>
        <v>105000</v>
      </c>
      <c r="K730" t="e">
        <f>VLOOKUP(B730,'REGISTRO ABONOS'!$B$8:$BC$10012,54,0)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6"/>
        <v>105000</v>
      </c>
      <c r="K731" t="e">
        <f>VLOOKUP(B731,'REGISTRO ABONOS'!$B$8:$BC$10012,54,0)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J732">
        <f t="shared" si="16"/>
        <v>105000</v>
      </c>
      <c r="K732" t="e">
        <f>VLOOKUP(B732,'REGISTRO ABONOS'!$B$8:$BC$10012,54,0)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6"/>
        <v>105000</v>
      </c>
      <c r="K733" t="e">
        <f>VLOOKUP(B733,'REGISTRO ABONOS'!$B$8:$BC$10012,54,0)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6"/>
        <v>105000</v>
      </c>
      <c r="K734" t="e">
        <f>VLOOKUP(B734,'REGISTRO ABONOS'!$B$8:$BC$10012,54,0)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J735">
        <f t="shared" si="16"/>
        <v>105000</v>
      </c>
      <c r="K735" t="e">
        <f>VLOOKUP(B735,'REGISTRO ABONOS'!$B$8:$BC$10012,54,0)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6"/>
        <v>105000</v>
      </c>
      <c r="K736" t="e">
        <f>VLOOKUP(B736,'REGISTRO ABONOS'!$B$8:$BC$10012,54,0)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6"/>
        <v>105000</v>
      </c>
      <c r="K737" t="e">
        <f>VLOOKUP(B737,'REGISTRO ABONOS'!$B$8:$BC$10012,54,0)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6"/>
        <v>105000</v>
      </c>
      <c r="K738" t="e">
        <f>VLOOKUP(B738,'REGISTRO ABONOS'!$B$8:$BC$10012,54,0)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J739">
        <f t="shared" si="16"/>
        <v>105000</v>
      </c>
      <c r="K739" t="e">
        <f>VLOOKUP(B739,'REGISTRO ABONOS'!$B$8:$BC$10012,54,0)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J740">
        <f t="shared" si="16"/>
        <v>105000</v>
      </c>
      <c r="K740" t="e">
        <f>VLOOKUP(B740,'REGISTRO ABONOS'!$B$8:$BC$10012,54,0)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6"/>
        <v>105000</v>
      </c>
      <c r="K741" t="e">
        <f>VLOOKUP(B741,'REGISTRO ABONOS'!$B$8:$BC$10012,54,0)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J742">
        <f t="shared" si="16"/>
        <v>105000</v>
      </c>
      <c r="K742" t="e">
        <f>VLOOKUP(B742,'REGISTRO ABONOS'!$B$8:$BC$10012,54,0)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6"/>
        <v>105000</v>
      </c>
      <c r="K743" t="e">
        <f>VLOOKUP(B743,'REGISTRO ABONOS'!$B$8:$BC$10012,54,0)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6"/>
        <v>105000</v>
      </c>
      <c r="K744" t="e">
        <f>VLOOKUP(B744,'REGISTRO ABONOS'!$B$8:$BC$10012,54,0)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J745">
        <f t="shared" si="16"/>
        <v>105000</v>
      </c>
      <c r="K745" t="e">
        <f>VLOOKUP(B745,'REGISTRO ABONOS'!$B$8:$BC$10012,54,0)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6"/>
        <v>105000</v>
      </c>
      <c r="K746" t="e">
        <f>VLOOKUP(B746,'REGISTRO ABONOS'!$B$8:$BC$10012,54,0)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6"/>
        <v>105000</v>
      </c>
      <c r="K747" t="e">
        <f>VLOOKUP(B747,'REGISTRO ABONOS'!$B$8:$BC$10012,54,0)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6"/>
        <v>105000</v>
      </c>
      <c r="K748" t="e">
        <f>VLOOKUP(B748,'REGISTRO ABONOS'!$B$8:$BC$10012,54,0)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6"/>
        <v>105000</v>
      </c>
      <c r="K749" t="e">
        <f>VLOOKUP(B749,'REGISTRO ABONOS'!$B$8:$BC$10012,54,0)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J750">
        <f t="shared" si="16"/>
        <v>105000</v>
      </c>
      <c r="K750" t="e">
        <f>VLOOKUP(B750,'REGISTRO ABONOS'!$B$8:$BC$10012,54,0)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6"/>
        <v>105000</v>
      </c>
      <c r="K751" t="e">
        <f>VLOOKUP(B751,'REGISTRO ABONOS'!$B$8:$BC$10012,54,0)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J752">
        <f t="shared" si="16"/>
        <v>105000</v>
      </c>
      <c r="K752" t="e">
        <f>VLOOKUP(B752,'REGISTRO ABONOS'!$B$8:$BC$10012,54,0)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6"/>
        <v>105000</v>
      </c>
      <c r="K753" t="e">
        <f>VLOOKUP(B753,'REGISTRO ABONOS'!$B$8:$BC$10012,54,0)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6"/>
        <v>105000</v>
      </c>
      <c r="K754" t="e">
        <f>VLOOKUP(B754,'REGISTRO ABONOS'!$B$8:$BC$10012,54,0)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6"/>
        <v>105000</v>
      </c>
      <c r="K755" t="e">
        <f>VLOOKUP(B755,'REGISTRO ABONOS'!$B$8:$BC$10012,54,0)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J756">
        <f t="shared" si="16"/>
        <v>105000</v>
      </c>
      <c r="K756" t="e">
        <f>VLOOKUP(B756,'REGISTRO ABONOS'!$B$8:$BC$10012,54,0)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6"/>
        <v>105000</v>
      </c>
      <c r="K757" t="e">
        <f>VLOOKUP(B757,'REGISTRO ABONOS'!$B$8:$BC$10012,54,0)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J758">
        <f t="shared" si="16"/>
        <v>105000</v>
      </c>
      <c r="K758" t="e">
        <f>VLOOKUP(B758,'REGISTRO ABONOS'!$B$8:$BC$10012,54,0)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J759">
        <f t="shared" si="16"/>
        <v>105000</v>
      </c>
      <c r="K759" t="e">
        <f>VLOOKUP(B759,'REGISTRO ABONOS'!$B$8:$BC$10012,54,0)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J760">
        <f t="shared" si="16"/>
        <v>105000</v>
      </c>
      <c r="K760" t="e">
        <f>VLOOKUP(B760,'REGISTRO ABONOS'!$B$8:$BC$10012,54,0)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6"/>
        <v>105000</v>
      </c>
      <c r="K761" t="e">
        <f>VLOOKUP(B761,'REGISTRO ABONOS'!$B$8:$BC$10012,54,0)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6"/>
        <v>105000</v>
      </c>
      <c r="K762" t="e">
        <f>VLOOKUP(B762,'REGISTRO ABONOS'!$B$8:$BC$10012,54,0)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6"/>
        <v>105000</v>
      </c>
      <c r="K763" t="e">
        <f>VLOOKUP(B763,'REGISTRO ABONOS'!$B$8:$BC$10012,54,0)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6"/>
        <v>105000</v>
      </c>
      <c r="K764" t="e">
        <f>VLOOKUP(B764,'REGISTRO ABONOS'!$B$8:$BC$10012,54,0)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6"/>
        <v>105000</v>
      </c>
      <c r="K765" t="e">
        <f>VLOOKUP(B765,'REGISTRO ABONOS'!$B$8:$BC$10012,54,0)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6"/>
        <v>105000</v>
      </c>
      <c r="K766" t="e">
        <f>VLOOKUP(B766,'REGISTRO ABONOS'!$B$8:$BC$10012,54,0)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6"/>
        <v>105000</v>
      </c>
      <c r="K767" t="e">
        <f>VLOOKUP(B767,'REGISTRO ABONOS'!$B$8:$BC$10012,54,0)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J768">
        <f t="shared" si="16"/>
        <v>105000</v>
      </c>
      <c r="K768" t="e">
        <f>VLOOKUP(B768,'REGISTRO ABONOS'!$B$8:$BC$10012,54,0)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6"/>
        <v>105000</v>
      </c>
      <c r="K769" t="e">
        <f>VLOOKUP(B769,'REGISTRO ABONOS'!$B$8:$BC$10012,54,0)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6"/>
        <v>105000</v>
      </c>
      <c r="K770" t="e">
        <f>VLOOKUP(B770,'REGISTRO ABONOS'!$B$8:$BC$10012,54,0)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6"/>
        <v>105000</v>
      </c>
      <c r="K771" t="e">
        <f>VLOOKUP(B771,'REGISTRO ABONOS'!$B$8:$BC$10012,54,0)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6"/>
        <v>105000</v>
      </c>
      <c r="K772" t="e">
        <f>VLOOKUP(B772,'REGISTRO ABONOS'!$B$8:$BC$10012,54,0)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6"/>
        <v>105000</v>
      </c>
      <c r="K773" t="e">
        <f>VLOOKUP(B773,'REGISTRO ABONOS'!$B$8:$BC$10012,54,0)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6"/>
        <v>105000</v>
      </c>
      <c r="K774" t="e">
        <f>VLOOKUP(B774,'REGISTRO ABONOS'!$B$8:$BC$10012,54,0)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6"/>
        <v>105000</v>
      </c>
      <c r="K775" t="e">
        <f>VLOOKUP(B775,'REGISTRO ABONOS'!$B$8:$BC$10012,54,0)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6"/>
        <v>105000</v>
      </c>
      <c r="K776" t="e">
        <f>VLOOKUP(B776,'REGISTRO ABONOS'!$B$8:$BC$10012,54,0)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6"/>
        <v>105000</v>
      </c>
      <c r="K777" t="e">
        <f>VLOOKUP(B777,'REGISTRO ABONOS'!$B$8:$BC$10012,54,0)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6"/>
        <v>105000</v>
      </c>
      <c r="K778" t="e">
        <f>VLOOKUP(B778,'REGISTRO ABONOS'!$B$8:$BC$10012,54,0)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6"/>
        <v>105000</v>
      </c>
      <c r="K779" t="e">
        <f>VLOOKUP(B779,'REGISTRO ABONOS'!$B$8:$BC$10012,54,0)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6"/>
        <v>105000</v>
      </c>
      <c r="K780" t="e">
        <f>VLOOKUP(B780,'REGISTRO ABONOS'!$B$8:$BC$10012,54,0)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6"/>
        <v>105000</v>
      </c>
      <c r="K781" t="e">
        <f>VLOOKUP(B781,'REGISTRO ABONOS'!$B$8:$BC$10012,54,0)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6"/>
        <v>105000</v>
      </c>
      <c r="K782" t="e">
        <f>VLOOKUP(B782,'REGISTRO ABONOS'!$B$8:$BC$10012,54,0)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6"/>
        <v>105000</v>
      </c>
      <c r="K783" t="e">
        <f>VLOOKUP(B783,'REGISTRO ABONOS'!$B$8:$BC$10012,54,0)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J784">
        <f t="shared" si="16"/>
        <v>105000</v>
      </c>
      <c r="K784" t="e">
        <f>VLOOKUP(B784,'REGISTRO ABONOS'!$B$8:$BC$10012,54,0)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6"/>
        <v>105000</v>
      </c>
      <c r="K785" t="e">
        <f>VLOOKUP(B785,'REGISTRO ABONOS'!$B$8:$BC$10012,54,0)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6"/>
        <v>105000</v>
      </c>
      <c r="K786" t="e">
        <f>VLOOKUP(B786,'REGISTRO ABONOS'!$B$8:$BC$10012,54,0)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6"/>
        <v>105000</v>
      </c>
      <c r="K787" t="e">
        <f>VLOOKUP(B787,'REGISTRO ABONOS'!$B$8:$BC$10012,54,0)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J788">
        <f t="shared" si="16"/>
        <v>105000</v>
      </c>
      <c r="K788" t="e">
        <f>VLOOKUP(B788,'REGISTRO ABONOS'!$B$8:$BC$10012,54,0)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J789">
        <f t="shared" si="16"/>
        <v>105000</v>
      </c>
      <c r="K789" t="e">
        <f>VLOOKUP(B789,'REGISTRO ABONOS'!$B$8:$BC$10012,54,0)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ABONOS'!$B$8:$BC$10012,54,0)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7"/>
        <v>105000</v>
      </c>
      <c r="K791" t="e">
        <f>VLOOKUP(B791,'REGISTRO ABONOS'!$B$8:$BC$10012,54,0)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7"/>
        <v>105000</v>
      </c>
      <c r="K792" t="e">
        <f>VLOOKUP(B792,'REGISTRO ABONOS'!$B$8:$BC$10012,54,0)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7"/>
        <v>105000</v>
      </c>
      <c r="K793" t="e">
        <f>VLOOKUP(B793,'REGISTRO ABONOS'!$B$8:$BC$10012,54,0)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7"/>
        <v>105000</v>
      </c>
      <c r="K794" t="e">
        <f>VLOOKUP(B794,'REGISTRO ABONOS'!$B$8:$BC$10012,54,0)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7"/>
        <v>105000</v>
      </c>
      <c r="K795" t="e">
        <f>VLOOKUP(B795,'REGISTRO ABONOS'!$B$8:$BC$10012,54,0)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7"/>
        <v>105000</v>
      </c>
      <c r="K796" t="e">
        <f>VLOOKUP(B796,'REGISTRO ABONOS'!$B$8:$BC$10012,54,0)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7"/>
        <v>105000</v>
      </c>
      <c r="K797" t="e">
        <f>VLOOKUP(B797,'REGISTRO ABONOS'!$B$8:$BC$10012,54,0)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7"/>
        <v>105000</v>
      </c>
      <c r="K798" t="e">
        <f>VLOOKUP(B798,'REGISTRO ABONOS'!$B$8:$BC$10012,54,0)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7"/>
        <v>105000</v>
      </c>
      <c r="K799" t="e">
        <f>VLOOKUP(B799,'REGISTRO ABONOS'!$B$8:$BC$10012,54,0)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7"/>
        <v>105000</v>
      </c>
      <c r="K800" t="e">
        <f>VLOOKUP(B800,'REGISTRO ABONOS'!$B$8:$BC$10012,54,0)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7"/>
        <v>105000</v>
      </c>
      <c r="K801" t="e">
        <f>VLOOKUP(B801,'REGISTRO ABONOS'!$B$8:$BC$10012,54,0)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J802">
        <f t="shared" si="17"/>
        <v>105000</v>
      </c>
      <c r="K802" t="e">
        <f>VLOOKUP(B802,'REGISTRO ABONOS'!$B$8:$BC$10012,54,0)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J803">
        <f t="shared" si="17"/>
        <v>105000</v>
      </c>
      <c r="K803" t="e">
        <f>VLOOKUP(B803,'REGISTRO ABONOS'!$B$8:$BC$10012,54,0)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7"/>
        <v>105000</v>
      </c>
      <c r="K804" t="e">
        <f>VLOOKUP(B804,'REGISTRO ABONOS'!$B$8:$BC$10012,54,0)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7"/>
        <v>105000</v>
      </c>
      <c r="K805" t="e">
        <f>VLOOKUP(B805,'REGISTRO ABONOS'!$B$8:$BC$10012,54,0)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7"/>
        <v>105000</v>
      </c>
      <c r="K806" t="e">
        <f>VLOOKUP(B806,'REGISTRO ABONOS'!$B$8:$BC$10012,54,0)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7"/>
        <v>105000</v>
      </c>
      <c r="K807" t="e">
        <f>VLOOKUP(B807,'REGISTRO ABONOS'!$B$8:$BC$10012,54,0)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7"/>
        <v>105000</v>
      </c>
      <c r="K808" t="e">
        <f>VLOOKUP(B808,'REGISTRO ABONOS'!$B$8:$BC$10012,54,0)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J809">
        <f t="shared" si="17"/>
        <v>105000</v>
      </c>
      <c r="K809" t="e">
        <f>VLOOKUP(B809,'REGISTRO ABONOS'!$B$8:$BC$10012,54,0)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J810">
        <f t="shared" si="17"/>
        <v>105000</v>
      </c>
      <c r="K810" t="e">
        <f>VLOOKUP(B810,'REGISTRO ABONOS'!$B$8:$BC$10012,54,0)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7"/>
        <v>105000</v>
      </c>
      <c r="K811" t="e">
        <f>VLOOKUP(B811,'REGISTRO ABONOS'!$B$8:$BC$10012,54,0)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7"/>
        <v>105000</v>
      </c>
      <c r="K812" t="e">
        <f>VLOOKUP(B812,'REGISTRO ABONOS'!$B$8:$BC$10012,54,0)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7"/>
        <v>105000</v>
      </c>
      <c r="K813" t="e">
        <f>VLOOKUP(B813,'REGISTRO ABONOS'!$B$8:$BC$10012,54,0)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7"/>
        <v>105000</v>
      </c>
      <c r="K814" t="e">
        <f>VLOOKUP(B814,'REGISTRO ABONOS'!$B$8:$BC$10012,54,0)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7"/>
        <v>105000</v>
      </c>
      <c r="K815" t="e">
        <f>VLOOKUP(B815,'REGISTRO ABONOS'!$B$8:$BC$10012,54,0)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J816">
        <f t="shared" si="17"/>
        <v>105000</v>
      </c>
      <c r="K816" t="e">
        <f>VLOOKUP(B816,'REGISTRO ABONOS'!$B$8:$BC$10012,54,0)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7"/>
        <v>105000</v>
      </c>
      <c r="K817" t="e">
        <f>VLOOKUP(B817,'REGISTRO ABONOS'!$B$8:$BC$10012,54,0)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7"/>
        <v>105000</v>
      </c>
      <c r="K818" t="e">
        <f>VLOOKUP(B818,'REGISTRO ABONOS'!$B$8:$BC$10012,54,0)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J819">
        <f t="shared" si="17"/>
        <v>105000</v>
      </c>
      <c r="K819" t="e">
        <f>VLOOKUP(B819,'REGISTRO ABONOS'!$B$8:$BC$10012,54,0)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J820">
        <f t="shared" si="17"/>
        <v>105000</v>
      </c>
      <c r="K820" t="e">
        <f>VLOOKUP(B820,'REGISTRO ABONOS'!$B$8:$BC$10012,54,0)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7"/>
        <v>105000</v>
      </c>
      <c r="K821" t="e">
        <f>VLOOKUP(B821,'REGISTRO ABONOS'!$B$8:$BC$10012,54,0)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7"/>
        <v>105000</v>
      </c>
      <c r="K822" t="e">
        <f>VLOOKUP(B822,'REGISTRO ABONOS'!$B$8:$BC$10012,54,0)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J823">
        <f t="shared" si="17"/>
        <v>105000</v>
      </c>
      <c r="K823" t="e">
        <f>VLOOKUP(B823,'REGISTRO ABONOS'!$B$8:$BC$10012,54,0)</f>
        <v>#N/A</v>
      </c>
      <c r="L823" t="e">
        <f>IF(Tabla26[[#This Row],[VALOR RESTANTE]]&lt;Tabla26[[#This Row],[VALOR]],"NO DISPONIBLE","DISPONIBLE")</f>
        <v>#N/A</v>
      </c>
      <c r="M823" s="9">
        <f>COUNTIF(Tabla26[[#This Row],[VALOR RESTANTE]],0)</f>
        <v>0</v>
      </c>
    </row>
    <row r="824" spans="2:13" x14ac:dyDescent="0.2">
      <c r="B824" s="31">
        <v>815</v>
      </c>
      <c r="J824">
        <f t="shared" si="17"/>
        <v>105000</v>
      </c>
      <c r="K824" t="e">
        <f>VLOOKUP(B824,'REGISTRO ABONOS'!$B$8:$BC$10012,54,0)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7"/>
        <v>105000</v>
      </c>
      <c r="K825" t="e">
        <f>VLOOKUP(B825,'REGISTRO ABONOS'!$B$8:$BC$10012,54,0)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J826">
        <f t="shared" si="17"/>
        <v>105000</v>
      </c>
      <c r="K826" t="e">
        <f>VLOOKUP(B826,'REGISTRO ABONOS'!$B$8:$BC$10012,54,0)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J827">
        <f t="shared" si="17"/>
        <v>105000</v>
      </c>
      <c r="K827" t="e">
        <f>VLOOKUP(B827,'REGISTRO ABONOS'!$B$8:$BC$10012,54,0)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J828">
        <f t="shared" si="17"/>
        <v>105000</v>
      </c>
      <c r="K828" t="e">
        <f>VLOOKUP(B828,'REGISTRO ABONOS'!$B$8:$BC$10012,54,0)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J829">
        <f t="shared" si="17"/>
        <v>105000</v>
      </c>
      <c r="K829" t="e">
        <f>VLOOKUP(B829,'REGISTRO ABONOS'!$B$8:$BC$10012,54,0)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7"/>
        <v>105000</v>
      </c>
      <c r="K830" t="e">
        <f>VLOOKUP(B830,'REGISTRO ABONOS'!$B$8:$BC$10012,54,0)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7"/>
        <v>105000</v>
      </c>
      <c r="K831" t="e">
        <f>VLOOKUP(B831,'REGISTRO ABONOS'!$B$8:$BC$10012,54,0)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J832">
        <f t="shared" si="17"/>
        <v>105000</v>
      </c>
      <c r="K832" t="e">
        <f>VLOOKUP(B832,'REGISTRO ABONOS'!$B$8:$BC$10012,54,0)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7"/>
        <v>105000</v>
      </c>
      <c r="K833" t="e">
        <f>VLOOKUP(B833,'REGISTRO ABONOS'!$B$8:$BC$10012,54,0)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7"/>
        <v>105000</v>
      </c>
      <c r="K834" t="e">
        <f>VLOOKUP(B834,'REGISTRO ABONOS'!$B$8:$BC$10012,54,0)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J835">
        <f t="shared" si="17"/>
        <v>105000</v>
      </c>
      <c r="K835" t="e">
        <f>VLOOKUP(B835,'REGISTRO ABONOS'!$B$8:$BC$10012,54,0)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J836">
        <f t="shared" si="17"/>
        <v>105000</v>
      </c>
      <c r="K836" t="e">
        <f>VLOOKUP(B836,'REGISTRO ABONOS'!$B$8:$BC$10012,54,0)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7"/>
        <v>105000</v>
      </c>
      <c r="K837" t="e">
        <f>VLOOKUP(B837,'REGISTRO ABONOS'!$B$8:$BC$10012,54,0)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J838">
        <f t="shared" si="17"/>
        <v>105000</v>
      </c>
      <c r="K838" t="e">
        <f>VLOOKUP(B838,'REGISTRO ABONOS'!$B$8:$BC$10012,54,0)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7"/>
        <v>105000</v>
      </c>
      <c r="K839" t="e">
        <f>VLOOKUP(B839,'REGISTRO ABONOS'!$B$8:$BC$10012,54,0)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7"/>
        <v>105000</v>
      </c>
      <c r="K840" t="e">
        <f>VLOOKUP(B840,'REGISTRO ABONOS'!$B$8:$BC$10012,54,0)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7"/>
        <v>105000</v>
      </c>
      <c r="K841" t="e">
        <f>VLOOKUP(B841,'REGISTRO ABONOS'!$B$8:$BC$10012,54,0)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J842">
        <f t="shared" si="17"/>
        <v>105000</v>
      </c>
      <c r="K842" t="e">
        <f>VLOOKUP(B842,'REGISTRO ABONOS'!$B$8:$BC$10012,54,0)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J843">
        <f t="shared" si="17"/>
        <v>105000</v>
      </c>
      <c r="K843" t="e">
        <f>VLOOKUP(B843,'REGISTRO ABONOS'!$B$8:$BC$10012,54,0)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7"/>
        <v>105000</v>
      </c>
      <c r="K844" t="e">
        <f>VLOOKUP(B844,'REGISTRO ABONOS'!$B$8:$BC$10012,54,0)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7"/>
        <v>105000</v>
      </c>
      <c r="K845" t="e">
        <f>VLOOKUP(B845,'REGISTRO ABONOS'!$B$8:$BC$10012,54,0)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J846">
        <f t="shared" si="17"/>
        <v>105000</v>
      </c>
      <c r="K846" t="e">
        <f>VLOOKUP(B846,'REGISTRO ABONOS'!$B$8:$BC$10012,54,0)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7"/>
        <v>105000</v>
      </c>
      <c r="K847" t="e">
        <f>VLOOKUP(B847,'REGISTRO ABONOS'!$B$8:$BC$10012,54,0)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7"/>
        <v>105000</v>
      </c>
      <c r="K848" t="e">
        <f>VLOOKUP(B848,'REGISTRO ABONOS'!$B$8:$BC$10012,54,0)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7"/>
        <v>105000</v>
      </c>
      <c r="K849" t="e">
        <f>VLOOKUP(B849,'REGISTRO ABONOS'!$B$8:$BC$10012,54,0)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7"/>
        <v>105000</v>
      </c>
      <c r="K850" t="e">
        <f>VLOOKUP(B850,'REGISTRO ABONOS'!$B$8:$BC$10012,54,0)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7"/>
        <v>105000</v>
      </c>
      <c r="K851" t="e">
        <f>VLOOKUP(B851,'REGISTRO ABONOS'!$B$8:$BC$10012,54,0)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7"/>
        <v>105000</v>
      </c>
      <c r="K852" t="e">
        <f>VLOOKUP(B852,'REGISTRO ABONOS'!$B$8:$BC$10012,54,0)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J853">
        <f t="shared" si="17"/>
        <v>105000</v>
      </c>
      <c r="K853" t="e">
        <f>VLOOKUP(B853,'REGISTRO ABONOS'!$B$8:$BC$10012,54,0)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ABONOS'!$B$8:$BC$10012,54,0)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8"/>
        <v>105000</v>
      </c>
      <c r="K855" t="e">
        <f>VLOOKUP(B855,'REGISTRO ABONOS'!$B$8:$BC$10012,54,0)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8"/>
        <v>105000</v>
      </c>
      <c r="K856" t="e">
        <f>VLOOKUP(B856,'REGISTRO ABONOS'!$B$8:$BC$10012,54,0)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J857">
        <f t="shared" si="18"/>
        <v>105000</v>
      </c>
      <c r="K857" t="e">
        <f>VLOOKUP(B857,'REGISTRO ABONOS'!$B$8:$BC$10012,54,0)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J858">
        <f t="shared" si="18"/>
        <v>105000</v>
      </c>
      <c r="K858" t="e">
        <f>VLOOKUP(B858,'REGISTRO ABONOS'!$B$8:$BC$10012,54,0)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J859">
        <f t="shared" si="18"/>
        <v>105000</v>
      </c>
      <c r="K859" t="e">
        <f>VLOOKUP(B859,'REGISTRO ABONOS'!$B$8:$BC$10012,54,0)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J860">
        <f t="shared" si="18"/>
        <v>105000</v>
      </c>
      <c r="K860" t="e">
        <f>VLOOKUP(B860,'REGISTRO ABONOS'!$B$8:$BC$10012,54,0)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8"/>
        <v>105000</v>
      </c>
      <c r="K861" t="e">
        <f>VLOOKUP(B861,'REGISTRO ABONOS'!$B$8:$BC$10012,54,0)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8"/>
        <v>105000</v>
      </c>
      <c r="K862" t="e">
        <f>VLOOKUP(B862,'REGISTRO ABONOS'!$B$8:$BC$10012,54,0)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8"/>
        <v>105000</v>
      </c>
      <c r="K863" t="e">
        <f>VLOOKUP(B863,'REGISTRO ABONOS'!$B$8:$BC$10012,54,0)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8"/>
        <v>105000</v>
      </c>
      <c r="K864" t="e">
        <f>VLOOKUP(B864,'REGISTRO ABONOS'!$B$8:$BC$10012,54,0)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8"/>
        <v>105000</v>
      </c>
      <c r="K865" t="e">
        <f>VLOOKUP(B865,'REGISTRO ABONOS'!$B$8:$BC$10012,54,0)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8"/>
        <v>105000</v>
      </c>
      <c r="K866" t="e">
        <f>VLOOKUP(B866,'REGISTRO ABONOS'!$B$8:$BC$10012,54,0)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J867">
        <f t="shared" si="18"/>
        <v>105000</v>
      </c>
      <c r="K867" t="e">
        <f>VLOOKUP(B867,'REGISTRO ABONOS'!$B$8:$BC$10012,54,0)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J868">
        <f t="shared" si="18"/>
        <v>105000</v>
      </c>
      <c r="K868" t="e">
        <f>VLOOKUP(B868,'REGISTRO ABONOS'!$B$8:$BC$10012,54,0)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8"/>
        <v>105000</v>
      </c>
      <c r="K869" t="e">
        <f>VLOOKUP(B869,'REGISTRO ABONOS'!$B$8:$BC$10012,54,0)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8"/>
        <v>105000</v>
      </c>
      <c r="K870" t="e">
        <f>VLOOKUP(B870,'REGISTRO ABONOS'!$B$8:$BC$10012,54,0)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8"/>
        <v>105000</v>
      </c>
      <c r="K871" t="e">
        <f>VLOOKUP(B871,'REGISTRO ABONOS'!$B$8:$BC$10012,54,0)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8"/>
        <v>105000</v>
      </c>
      <c r="K872" t="e">
        <f>VLOOKUP(B872,'REGISTRO ABONOS'!$B$8:$BC$10012,54,0)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J873">
        <f t="shared" si="18"/>
        <v>105000</v>
      </c>
      <c r="K873" t="e">
        <f>VLOOKUP(B873,'REGISTRO ABONOS'!$B$8:$BC$10012,54,0)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8"/>
        <v>105000</v>
      </c>
      <c r="K874" t="e">
        <f>VLOOKUP(B874,'REGISTRO ABONOS'!$B$8:$BC$10012,54,0)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8"/>
        <v>105000</v>
      </c>
      <c r="K875" t="e">
        <f>VLOOKUP(B875,'REGISTRO ABONOS'!$B$8:$BC$10012,54,0)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8"/>
        <v>105000</v>
      </c>
      <c r="K876" t="e">
        <f>VLOOKUP(B876,'REGISTRO ABONOS'!$B$8:$BC$10012,54,0)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8"/>
        <v>105000</v>
      </c>
      <c r="K877" t="e">
        <f>VLOOKUP(B877,'REGISTRO ABONOS'!$B$8:$BC$10012,54,0)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8"/>
        <v>105000</v>
      </c>
      <c r="K878" t="e">
        <f>VLOOKUP(B878,'REGISTRO ABONOS'!$B$8:$BC$10012,54,0)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J879">
        <f t="shared" si="18"/>
        <v>105000</v>
      </c>
      <c r="K879" t="e">
        <f>VLOOKUP(B879,'REGISTRO ABONOS'!$B$8:$BC$10012,54,0)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8"/>
        <v>105000</v>
      </c>
      <c r="K880" t="e">
        <f>VLOOKUP(B880,'REGISTRO ABONOS'!$B$8:$BC$10012,54,0)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8"/>
        <v>105000</v>
      </c>
      <c r="K881" t="e">
        <f>VLOOKUP(B881,'REGISTRO ABONOS'!$B$8:$BC$10012,54,0)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8"/>
        <v>105000</v>
      </c>
      <c r="K882" t="e">
        <f>VLOOKUP(B882,'REGISTRO ABONOS'!$B$8:$BC$10012,54,0)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8"/>
        <v>105000</v>
      </c>
      <c r="K883" t="e">
        <f>VLOOKUP(B883,'REGISTRO ABONOS'!$B$8:$BC$10012,54,0)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8"/>
        <v>105000</v>
      </c>
      <c r="K884" t="e">
        <f>VLOOKUP(B884,'REGISTRO ABONOS'!$B$8:$BC$10012,54,0)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8"/>
        <v>105000</v>
      </c>
      <c r="K885" t="e">
        <f>VLOOKUP(B885,'REGISTRO ABONOS'!$B$8:$BC$10012,54,0)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8"/>
        <v>105000</v>
      </c>
      <c r="K886" t="e">
        <f>VLOOKUP(B886,'REGISTRO ABONOS'!$B$8:$BC$10012,54,0)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8"/>
        <v>105000</v>
      </c>
      <c r="K887" t="e">
        <f>VLOOKUP(B887,'REGISTRO ABONOS'!$B$8:$BC$10012,54,0)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8"/>
        <v>105000</v>
      </c>
      <c r="K888" t="e">
        <f>VLOOKUP(B888,'REGISTRO ABONOS'!$B$8:$BC$10012,54,0)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8"/>
        <v>105000</v>
      </c>
      <c r="K889" t="e">
        <f>VLOOKUP(B889,'REGISTRO ABONOS'!$B$8:$BC$10012,54,0)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8"/>
        <v>105000</v>
      </c>
      <c r="K890" t="e">
        <f>VLOOKUP(B890,'REGISTRO ABONOS'!$B$8:$BC$10012,54,0)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J891">
        <f t="shared" si="18"/>
        <v>105000</v>
      </c>
      <c r="K891" t="e">
        <f>VLOOKUP(B891,'REGISTRO ABONOS'!$B$8:$BC$10012,54,0)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8"/>
        <v>105000</v>
      </c>
      <c r="K892" t="e">
        <f>VLOOKUP(B892,'REGISTRO ABONOS'!$B$8:$BC$10012,54,0)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8"/>
        <v>105000</v>
      </c>
      <c r="K893" t="e">
        <f>VLOOKUP(B893,'REGISTRO ABONOS'!$B$8:$BC$10012,54,0)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8"/>
        <v>105000</v>
      </c>
      <c r="K894" t="e">
        <f>VLOOKUP(B894,'REGISTRO ABONOS'!$B$8:$BC$10012,54,0)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8"/>
        <v>105000</v>
      </c>
      <c r="K895" t="e">
        <f>VLOOKUP(B895,'REGISTRO ABONOS'!$B$8:$BC$10012,54,0)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8"/>
        <v>105000</v>
      </c>
      <c r="K896" t="e">
        <f>VLOOKUP(B896,'REGISTRO ABONOS'!$B$8:$BC$10012,54,0)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8"/>
        <v>105000</v>
      </c>
      <c r="K897" t="e">
        <f>VLOOKUP(B897,'REGISTRO ABONOS'!$B$8:$BC$10012,54,0)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J898">
        <f t="shared" si="18"/>
        <v>105000</v>
      </c>
      <c r="K898" t="e">
        <f>VLOOKUP(B898,'REGISTRO ABONOS'!$B$8:$BC$10012,54,0)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8"/>
        <v>105000</v>
      </c>
      <c r="K899" t="e">
        <f>VLOOKUP(B899,'REGISTRO ABONOS'!$B$8:$BC$10012,54,0)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8"/>
        <v>105000</v>
      </c>
      <c r="K900" t="e">
        <f>VLOOKUP(B900,'REGISTRO ABONOS'!$B$8:$BC$10012,54,0)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8"/>
        <v>105000</v>
      </c>
      <c r="K901" t="e">
        <f>VLOOKUP(B901,'REGISTRO ABONOS'!$B$8:$BC$10012,54,0)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8"/>
        <v>105000</v>
      </c>
      <c r="K902" t="e">
        <f>VLOOKUP(B902,'REGISTRO ABONOS'!$B$8:$BC$10012,54,0)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8"/>
        <v>105000</v>
      </c>
      <c r="K903" t="e">
        <f>VLOOKUP(B903,'REGISTRO ABONOS'!$B$8:$BC$10012,54,0)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J904">
        <f t="shared" si="18"/>
        <v>105000</v>
      </c>
      <c r="K904" t="e">
        <f>VLOOKUP(B904,'REGISTRO ABONOS'!$B$8:$BC$10012,54,0)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8"/>
        <v>105000</v>
      </c>
      <c r="K905" t="e">
        <f>VLOOKUP(B905,'REGISTRO ABONOS'!$B$8:$BC$10012,54,0)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8"/>
        <v>105000</v>
      </c>
      <c r="K906" t="e">
        <f>VLOOKUP(B906,'REGISTRO ABONOS'!$B$8:$BC$10012,54,0)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8"/>
        <v>105000</v>
      </c>
      <c r="K907" t="e">
        <f>VLOOKUP(B907,'REGISTRO ABONOS'!$B$8:$BC$10012,54,0)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8"/>
        <v>105000</v>
      </c>
      <c r="K908" t="e">
        <f>VLOOKUP(B908,'REGISTRO ABONOS'!$B$8:$BC$10012,54,0)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J909">
        <f t="shared" si="18"/>
        <v>105000</v>
      </c>
      <c r="K909" t="e">
        <f>VLOOKUP(B909,'REGISTRO ABONOS'!$B$8:$BC$10012,54,0)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J910">
        <f t="shared" si="18"/>
        <v>105000</v>
      </c>
      <c r="K910" t="e">
        <f>VLOOKUP(B910,'REGISTRO ABONOS'!$B$8:$BC$10012,54,0)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8"/>
        <v>105000</v>
      </c>
      <c r="K911" t="e">
        <f>VLOOKUP(B911,'REGISTRO ABONOS'!$B$8:$BC$10012,54,0)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8"/>
        <v>105000</v>
      </c>
      <c r="K912" t="e">
        <f>VLOOKUP(B912,'REGISTRO ABONOS'!$B$8:$BC$10012,54,0)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J913">
        <f t="shared" si="18"/>
        <v>105000</v>
      </c>
      <c r="K913" t="e">
        <f>VLOOKUP(B913,'REGISTRO ABONOS'!$B$8:$BC$10012,54,0)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8"/>
        <v>105000</v>
      </c>
      <c r="K914" t="e">
        <f>VLOOKUP(B914,'REGISTRO ABONOS'!$B$8:$BC$10012,54,0)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8"/>
        <v>105000</v>
      </c>
      <c r="K915" t="e">
        <f>VLOOKUP(B915,'REGISTRO ABONOS'!$B$8:$BC$10012,54,0)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J916">
        <f t="shared" si="18"/>
        <v>105000</v>
      </c>
      <c r="K916" t="e">
        <f>VLOOKUP(B916,'REGISTRO ABONOS'!$B$8:$BC$10012,54,0)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8"/>
        <v>105000</v>
      </c>
      <c r="K917" t="e">
        <f>VLOOKUP(B917,'REGISTRO ABONOS'!$B$8:$BC$10012,54,0)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ABONOS'!$B$8:$BC$10012,54,0)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9"/>
        <v>105000</v>
      </c>
      <c r="K919" t="e">
        <f>VLOOKUP(B919,'REGISTRO ABONOS'!$B$8:$BC$10012,54,0)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J920">
        <f t="shared" si="19"/>
        <v>105000</v>
      </c>
      <c r="K920" t="e">
        <f>VLOOKUP(B920,'REGISTRO ABONOS'!$B$8:$BC$10012,54,0)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9"/>
        <v>105000</v>
      </c>
      <c r="K921" t="e">
        <f>VLOOKUP(B921,'REGISTRO ABONOS'!$B$8:$BC$10012,54,0)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9"/>
        <v>105000</v>
      </c>
      <c r="K922" t="e">
        <f>VLOOKUP(B922,'REGISTRO ABONOS'!$B$8:$BC$10012,54,0)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J923">
        <f t="shared" si="19"/>
        <v>105000</v>
      </c>
      <c r="K923" t="e">
        <f>VLOOKUP(B923,'REGISTRO ABONOS'!$B$8:$BC$10012,54,0)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J924">
        <f t="shared" si="19"/>
        <v>105000</v>
      </c>
      <c r="K924" t="e">
        <f>VLOOKUP(B924,'REGISTRO ABONOS'!$B$8:$BC$10012,54,0)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J925">
        <f t="shared" si="19"/>
        <v>105000</v>
      </c>
      <c r="K925" t="e">
        <f>VLOOKUP(B925,'REGISTRO ABONOS'!$B$8:$BC$10012,54,0)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J926">
        <f t="shared" si="19"/>
        <v>105000</v>
      </c>
      <c r="K926" t="e">
        <f>VLOOKUP(B926,'REGISTRO ABONOS'!$B$8:$BC$10012,54,0)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J927">
        <f t="shared" si="19"/>
        <v>105000</v>
      </c>
      <c r="K927" t="e">
        <f>VLOOKUP(B927,'REGISTRO ABONOS'!$B$8:$BC$10012,54,0)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J928">
        <f t="shared" si="19"/>
        <v>105000</v>
      </c>
      <c r="K928" t="e">
        <f>VLOOKUP(B928,'REGISTRO ABONOS'!$B$8:$BC$10012,54,0)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J929">
        <f t="shared" si="19"/>
        <v>105000</v>
      </c>
      <c r="K929" t="e">
        <f>VLOOKUP(B929,'REGISTRO ABONOS'!$B$8:$BC$10012,54,0)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9"/>
        <v>105000</v>
      </c>
      <c r="K930" t="e">
        <f>VLOOKUP(B930,'REGISTRO ABONOS'!$B$8:$BC$10012,54,0)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9"/>
        <v>105000</v>
      </c>
      <c r="K931" t="e">
        <f>VLOOKUP(B931,'REGISTRO ABONOS'!$B$8:$BC$10012,54,0)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J932">
        <f t="shared" si="19"/>
        <v>105000</v>
      </c>
      <c r="K932" t="e">
        <f>VLOOKUP(B932,'REGISTRO ABONOS'!$B$8:$BC$10012,54,0)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J933">
        <f t="shared" si="19"/>
        <v>105000</v>
      </c>
      <c r="K933" t="e">
        <f>VLOOKUP(B933,'REGISTRO ABONOS'!$B$8:$BC$10012,54,0)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J934">
        <f t="shared" si="19"/>
        <v>105000</v>
      </c>
      <c r="K934" t="e">
        <f>VLOOKUP(B934,'REGISTRO ABONOS'!$B$8:$BC$10012,54,0)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9"/>
        <v>105000</v>
      </c>
      <c r="K935" t="e">
        <f>VLOOKUP(B935,'REGISTRO ABONOS'!$B$8:$BC$10012,54,0)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J936">
        <f t="shared" si="19"/>
        <v>105000</v>
      </c>
      <c r="K936" t="e">
        <f>VLOOKUP(B936,'REGISTRO ABONOS'!$B$8:$BC$10012,54,0)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9"/>
        <v>105000</v>
      </c>
      <c r="K937" t="e">
        <f>VLOOKUP(B937,'REGISTRO ABONOS'!$B$8:$BC$10012,54,0)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9"/>
        <v>105000</v>
      </c>
      <c r="K938" t="e">
        <f>VLOOKUP(B938,'REGISTRO ABONOS'!$B$8:$BC$10012,54,0)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J939">
        <f t="shared" si="19"/>
        <v>105000</v>
      </c>
      <c r="K939" t="e">
        <f>VLOOKUP(B939,'REGISTRO ABONOS'!$B$8:$BC$10012,54,0)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9"/>
        <v>105000</v>
      </c>
      <c r="K940" t="e">
        <f>VLOOKUP(B940,'REGISTRO ABONOS'!$B$8:$BC$10012,54,0)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9"/>
        <v>105000</v>
      </c>
      <c r="K941" t="e">
        <f>VLOOKUP(B941,'REGISTRO ABONOS'!$B$8:$BC$10012,54,0)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9"/>
        <v>105000</v>
      </c>
      <c r="K942" t="e">
        <f>VLOOKUP(B942,'REGISTRO ABONOS'!$B$8:$BC$10012,54,0)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J943">
        <f t="shared" si="19"/>
        <v>105000</v>
      </c>
      <c r="K943" t="e">
        <f>VLOOKUP(B943,'REGISTRO ABONOS'!$B$8:$BC$10012,54,0)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J944">
        <f t="shared" si="19"/>
        <v>105000</v>
      </c>
      <c r="K944" t="e">
        <f>VLOOKUP(B944,'REGISTRO ABONOS'!$B$8:$BC$10012,54,0)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J945">
        <f t="shared" si="19"/>
        <v>105000</v>
      </c>
      <c r="K945" t="e">
        <f>VLOOKUP(B945,'REGISTRO ABONOS'!$B$8:$BC$10012,54,0)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J946">
        <f t="shared" si="19"/>
        <v>105000</v>
      </c>
      <c r="K946" t="e">
        <f>VLOOKUP(B946,'REGISTRO ABONOS'!$B$8:$BC$10012,54,0)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J947">
        <f t="shared" si="19"/>
        <v>105000</v>
      </c>
      <c r="K947" t="e">
        <f>VLOOKUP(B947,'REGISTRO ABONOS'!$B$8:$BC$10012,54,0)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9"/>
        <v>105000</v>
      </c>
      <c r="K948" t="e">
        <f>VLOOKUP(B948,'REGISTRO ABONOS'!$B$8:$BC$10012,54,0)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9"/>
        <v>105000</v>
      </c>
      <c r="K949" t="e">
        <f>VLOOKUP(B949,'REGISTRO ABONOS'!$B$8:$BC$10012,54,0)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9"/>
        <v>105000</v>
      </c>
      <c r="K950" t="e">
        <f>VLOOKUP(B950,'REGISTRO ABONOS'!$B$8:$BC$10012,54,0)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9"/>
        <v>105000</v>
      </c>
      <c r="K951" t="e">
        <f>VLOOKUP(B951,'REGISTRO ABONOS'!$B$8:$BC$10012,54,0)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9"/>
        <v>105000</v>
      </c>
      <c r="K952" t="e">
        <f>VLOOKUP(B952,'REGISTRO ABONOS'!$B$8:$BC$10012,54,0)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9"/>
        <v>105000</v>
      </c>
      <c r="K953" t="e">
        <f>VLOOKUP(B953,'REGISTRO ABONOS'!$B$8:$BC$10012,54,0)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9"/>
        <v>105000</v>
      </c>
      <c r="K954" t="e">
        <f>VLOOKUP(B954,'REGISTRO ABONOS'!$B$8:$BC$10012,54,0)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9"/>
        <v>105000</v>
      </c>
      <c r="K955" t="e">
        <f>VLOOKUP(B955,'REGISTRO ABONOS'!$B$8:$BC$10012,54,0)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J956">
        <f t="shared" si="19"/>
        <v>105000</v>
      </c>
      <c r="K956" t="e">
        <f>VLOOKUP(B956,'REGISTRO ABONOS'!$B$8:$BC$10012,54,0)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9"/>
        <v>105000</v>
      </c>
      <c r="K957" t="e">
        <f>VLOOKUP(B957,'REGISTRO ABONOS'!$B$8:$BC$10012,54,0)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9"/>
        <v>105000</v>
      </c>
      <c r="K958" t="e">
        <f>VLOOKUP(B958,'REGISTRO ABONOS'!$B$8:$BC$10012,54,0)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J959">
        <f t="shared" si="19"/>
        <v>105000</v>
      </c>
      <c r="K959" t="e">
        <f>VLOOKUP(B959,'REGISTRO ABONOS'!$B$8:$BC$10012,54,0)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9"/>
        <v>105000</v>
      </c>
      <c r="K960" t="e">
        <f>VLOOKUP(B960,'REGISTRO ABONOS'!$B$8:$BC$10012,54,0)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9"/>
        <v>105000</v>
      </c>
      <c r="K961" t="e">
        <f>VLOOKUP(B961,'REGISTRO ABONOS'!$B$8:$BC$10012,54,0)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9"/>
        <v>105000</v>
      </c>
      <c r="K962" t="e">
        <f>VLOOKUP(B962,'REGISTRO ABONOS'!$B$8:$BC$10012,54,0)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9"/>
        <v>105000</v>
      </c>
      <c r="K963" t="e">
        <f>VLOOKUP(B963,'REGISTRO ABONOS'!$B$8:$BC$10012,54,0)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9"/>
        <v>105000</v>
      </c>
      <c r="K964" t="e">
        <f>VLOOKUP(B964,'REGISTRO ABONOS'!$B$8:$BC$10012,54,0)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9"/>
        <v>105000</v>
      </c>
      <c r="K965" t="e">
        <f>VLOOKUP(B965,'REGISTRO ABONOS'!$B$8:$BC$10012,54,0)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9"/>
        <v>105000</v>
      </c>
      <c r="K966" t="e">
        <f>VLOOKUP(B966,'REGISTRO ABONOS'!$B$8:$BC$10012,54,0)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9"/>
        <v>105000</v>
      </c>
      <c r="K967" t="e">
        <f>VLOOKUP(B967,'REGISTRO ABONOS'!$B$8:$BC$10012,54,0)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9"/>
        <v>105000</v>
      </c>
      <c r="K968" t="e">
        <f>VLOOKUP(B968,'REGISTRO ABONOS'!$B$8:$BC$10012,54,0)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9"/>
        <v>105000</v>
      </c>
      <c r="K969" t="e">
        <f>VLOOKUP(B969,'REGISTRO ABONOS'!$B$8:$BC$10012,54,0)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9"/>
        <v>105000</v>
      </c>
      <c r="K970" t="e">
        <f>VLOOKUP(B970,'REGISTRO ABONOS'!$B$8:$BC$10012,54,0)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9"/>
        <v>105000</v>
      </c>
      <c r="K971" t="e">
        <f>VLOOKUP(B971,'REGISTRO ABONOS'!$B$8:$BC$10012,54,0)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9"/>
        <v>105000</v>
      </c>
      <c r="K972" t="e">
        <f>VLOOKUP(B972,'REGISTRO ABONOS'!$B$8:$BC$10012,54,0)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9"/>
        <v>105000</v>
      </c>
      <c r="K973" t="e">
        <f>VLOOKUP(B973,'REGISTRO ABONOS'!$B$8:$BC$10012,54,0)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9"/>
        <v>105000</v>
      </c>
      <c r="K974" t="e">
        <f>VLOOKUP(B974,'REGISTRO ABONOS'!$B$8:$BC$10012,54,0)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9"/>
        <v>105000</v>
      </c>
      <c r="K975" t="e">
        <f>VLOOKUP(B975,'REGISTRO ABONOS'!$B$8:$BC$10012,54,0)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9"/>
        <v>105000</v>
      </c>
      <c r="K976" t="e">
        <f>VLOOKUP(B976,'REGISTRO ABONOS'!$B$8:$BC$10012,54,0)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9"/>
        <v>105000</v>
      </c>
      <c r="K977" t="e">
        <f>VLOOKUP(B977,'REGISTRO ABONOS'!$B$8:$BC$10012,54,0)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9"/>
        <v>105000</v>
      </c>
      <c r="K978" t="e">
        <f>VLOOKUP(B978,'REGISTRO ABONOS'!$B$8:$BC$10012,54,0)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9"/>
        <v>105000</v>
      </c>
      <c r="K979" t="e">
        <f>VLOOKUP(B979,'REGISTRO ABONOS'!$B$8:$BC$10012,54,0)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9"/>
        <v>105000</v>
      </c>
      <c r="K980" t="e">
        <f>VLOOKUP(B980,'REGISTRO ABONOS'!$B$8:$BC$10012,54,0)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9"/>
        <v>105000</v>
      </c>
      <c r="K981" t="e">
        <f>VLOOKUP(B981,'REGISTRO ABONOS'!$B$8:$BC$10012,54,0)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ABONOS'!$B$8:$BC$10012,54,0)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20"/>
        <v>105000</v>
      </c>
      <c r="K983" t="e">
        <f>VLOOKUP(B983,'REGISTRO ABONOS'!$B$8:$BC$10012,54,0)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20"/>
        <v>105000</v>
      </c>
      <c r="K984" t="e">
        <f>VLOOKUP(B984,'REGISTRO ABONOS'!$B$8:$BC$10012,54,0)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J985">
        <f t="shared" si="20"/>
        <v>105000</v>
      </c>
      <c r="K985" t="e">
        <f>VLOOKUP(B985,'REGISTRO ABONOS'!$B$8:$BC$10012,54,0)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J986">
        <f t="shared" si="20"/>
        <v>105000</v>
      </c>
      <c r="K986" t="e">
        <f>VLOOKUP(B986,'REGISTRO ABONOS'!$B$8:$BC$10012,54,0)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20"/>
        <v>105000</v>
      </c>
      <c r="K987" t="e">
        <f>VLOOKUP(B987,'REGISTRO ABONOS'!$B$8:$BC$10012,54,0)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20"/>
        <v>105000</v>
      </c>
      <c r="K988" t="e">
        <f>VLOOKUP(B988,'REGISTRO ABONOS'!$B$8:$BC$10012,54,0)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20"/>
        <v>105000</v>
      </c>
      <c r="K989" t="e">
        <f>VLOOKUP(B989,'REGISTRO ABONOS'!$B$8:$BC$10012,54,0)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J990">
        <f t="shared" si="20"/>
        <v>105000</v>
      </c>
      <c r="K990" t="e">
        <f>VLOOKUP(B990,'REGISTRO ABONOS'!$B$8:$BC$10012,54,0)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20"/>
        <v>105000</v>
      </c>
      <c r="K991" t="e">
        <f>VLOOKUP(B991,'REGISTRO ABONOS'!$B$8:$BC$10012,54,0)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20"/>
        <v>105000</v>
      </c>
      <c r="K992" t="e">
        <f>VLOOKUP(B992,'REGISTRO ABONOS'!$B$8:$BC$10012,54,0)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20"/>
        <v>105000</v>
      </c>
      <c r="K993" t="e">
        <f>VLOOKUP(B993,'REGISTRO ABONOS'!$B$8:$BC$10012,54,0)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J994">
        <f t="shared" si="20"/>
        <v>105000</v>
      </c>
      <c r="K994" t="e">
        <f>VLOOKUP(B994,'REGISTRO ABONOS'!$B$8:$BC$10012,54,0)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20"/>
        <v>105000</v>
      </c>
      <c r="K995" t="e">
        <f>VLOOKUP(B995,'REGISTRO ABONOS'!$B$8:$BC$10012,54,0)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20"/>
        <v>105000</v>
      </c>
      <c r="K996" t="e">
        <f>VLOOKUP(B996,'REGISTRO ABONOS'!$B$8:$BC$10012,54,0)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20"/>
        <v>105000</v>
      </c>
      <c r="K997" t="e">
        <f>VLOOKUP(B997,'REGISTRO ABONOS'!$B$8:$BC$10012,54,0)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20"/>
        <v>105000</v>
      </c>
      <c r="K998" t="e">
        <f>VLOOKUP(B998,'REGISTRO ABONOS'!$B$8:$BC$10012,54,0)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20"/>
        <v>105000</v>
      </c>
      <c r="K999" t="e">
        <f>VLOOKUP(B999,'REGISTRO ABONOS'!$B$8:$BC$10012,54,0)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20"/>
        <v>105000</v>
      </c>
      <c r="K1000" t="e">
        <f>VLOOKUP(B1000,'REGISTRO ABONOS'!$B$8:$BC$10012,54,0)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20"/>
        <v>105000</v>
      </c>
      <c r="K1001" t="e">
        <f>VLOOKUP(B1001,'REGISTRO ABONOS'!$B$8:$BC$10012,54,0)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20"/>
        <v>105000</v>
      </c>
      <c r="K1002" t="e">
        <f>VLOOKUP(B1002,'REGISTRO ABONOS'!$B$8:$BC$10012,54,0)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20"/>
        <v>105000</v>
      </c>
      <c r="K1003" t="e">
        <f>VLOOKUP(B1003,'REGISTRO ABONOS'!$B$8:$BC$10012,54,0)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20"/>
        <v>105000</v>
      </c>
      <c r="K1004" t="e">
        <f>VLOOKUP(B1004,'REGISTRO ABONOS'!$B$8:$BC$10012,54,0)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20"/>
        <v>105000</v>
      </c>
      <c r="K1005" t="e">
        <f>VLOOKUP(B1005,'REGISTRO ABONOS'!$B$8:$BC$10012,54,0)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J1006">
        <f t="shared" si="20"/>
        <v>105000</v>
      </c>
      <c r="K1006" t="e">
        <f>VLOOKUP(B1006,'REGISTRO ABONOS'!$B$8:$BC$10012,54,0)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20"/>
        <v>105000</v>
      </c>
      <c r="K1007" t="e">
        <f>VLOOKUP(B1007,'REGISTRO ABONOS'!$B$8:$BC$10012,54,0)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20"/>
        <v>105000</v>
      </c>
      <c r="K1008" t="e">
        <f>VLOOKUP(B1008,'REGISTRO ABONOS'!$B$8:$BC$10012,54,0)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20"/>
        <v>105000</v>
      </c>
      <c r="K1009" t="e">
        <f>VLOOKUP(B1009,'REGISTRO ABONOS'!$B$8:$BC$10012,54,0)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J1010">
        <f t="shared" si="20"/>
        <v>105000</v>
      </c>
      <c r="K1010" t="e">
        <f>VLOOKUP(B1010,'REGISTRO ABONOS'!$B$8:$BC$10012,54,0)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J1011">
        <f t="shared" si="20"/>
        <v>105000</v>
      </c>
      <c r="K1011" t="e">
        <f>VLOOKUP(B1011,'REGISTRO ABONOS'!$B$8:$BC$10012,54,0)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20"/>
        <v>105000</v>
      </c>
      <c r="K1012" t="e">
        <f>VLOOKUP(B1012,'REGISTRO ABONOS'!$B$8:$BC$10012,54,0)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20"/>
        <v>105000</v>
      </c>
      <c r="K1013" t="e">
        <f>VLOOKUP(B1013,'REGISTRO ABONOS'!$B$8:$BC$10012,54,0)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20"/>
        <v>105000</v>
      </c>
      <c r="K1014" t="e">
        <f>VLOOKUP(B1014,'REGISTRO ABONOS'!$B$8:$BC$10012,54,0)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20"/>
        <v>105000</v>
      </c>
      <c r="K1015" t="e">
        <f>VLOOKUP(B1015,'REGISTRO ABONOS'!$B$8:$BC$10012,54,0)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J1016">
        <f t="shared" si="20"/>
        <v>105000</v>
      </c>
      <c r="K1016" t="e">
        <f>VLOOKUP(B1016,'REGISTRO ABONOS'!$B$8:$BC$10012,54,0)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20"/>
        <v>105000</v>
      </c>
      <c r="K1017" t="e">
        <f>VLOOKUP(B1017,'REGISTRO ABONOS'!$B$8:$BC$10012,54,0)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20"/>
        <v>105000</v>
      </c>
      <c r="K1018" t="e">
        <f>VLOOKUP(B1018,'REGISTRO ABONOS'!$B$8:$BC$10012,54,0)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20"/>
        <v>105000</v>
      </c>
      <c r="K1019" t="e">
        <f>VLOOKUP(B1019,'REGISTRO ABONOS'!$B$8:$BC$10012,54,0)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J1020">
        <f t="shared" si="20"/>
        <v>105000</v>
      </c>
      <c r="K1020" t="e">
        <f>VLOOKUP(B1020,'REGISTRO ABONOS'!$B$8:$BC$10012,54,0)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J1021">
        <f t="shared" si="20"/>
        <v>105000</v>
      </c>
      <c r="K1021" t="e">
        <f>VLOOKUP(B1021,'REGISTRO ABONOS'!$B$8:$BC$10012,54,0)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J1022">
        <f t="shared" si="20"/>
        <v>105000</v>
      </c>
      <c r="K1022" t="e">
        <f>VLOOKUP(B1022,'REGISTRO ABONOS'!$B$8:$BC$10012,54,0)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J1023">
        <f t="shared" si="20"/>
        <v>105000</v>
      </c>
      <c r="K1023" t="e">
        <f>VLOOKUP(B1023,'REGISTRO ABONOS'!$B$8:$BC$10012,54,0)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20"/>
        <v>105000</v>
      </c>
      <c r="K1024" t="e">
        <f>VLOOKUP(B1024,'REGISTRO ABONOS'!$B$8:$BC$10012,54,0)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J1025">
        <f t="shared" si="20"/>
        <v>105000</v>
      </c>
      <c r="K1025" t="e">
        <f>VLOOKUP(B1025,'REGISTRO ABONOS'!$B$8:$BC$10012,54,0)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J1026">
        <f t="shared" si="20"/>
        <v>105000</v>
      </c>
      <c r="K1026" t="e">
        <f>VLOOKUP(B1026,'REGISTRO ABONOS'!$B$8:$BC$10012,54,0)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J1027">
        <f t="shared" si="20"/>
        <v>105000</v>
      </c>
      <c r="K1027" t="e">
        <f>VLOOKUP(B1027,'REGISTRO ABONOS'!$B$8:$BC$10012,54,0)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20"/>
        <v>105000</v>
      </c>
      <c r="K1028" t="e">
        <f>VLOOKUP(B1028,'REGISTRO ABONOS'!$B$8:$BC$10012,54,0)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20"/>
        <v>105000</v>
      </c>
      <c r="K1029" t="e">
        <f>VLOOKUP(B1029,'REGISTRO ABONOS'!$B$8:$BC$10012,54,0)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J1030">
        <f t="shared" si="20"/>
        <v>105000</v>
      </c>
      <c r="K1030" t="e">
        <f>VLOOKUP(B1030,'REGISTRO ABONOS'!$B$8:$BC$10012,54,0)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J1031">
        <f t="shared" si="20"/>
        <v>105000</v>
      </c>
      <c r="K1031" t="e">
        <f>VLOOKUP(B1031,'REGISTRO ABONOS'!$B$8:$BC$10012,54,0)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20"/>
        <v>105000</v>
      </c>
      <c r="K1032" t="e">
        <f>VLOOKUP(B1032,'REGISTRO ABONOS'!$B$8:$BC$10012,54,0)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J1033">
        <f t="shared" si="20"/>
        <v>105000</v>
      </c>
      <c r="K1033" t="e">
        <f>VLOOKUP(B1033,'REGISTRO ABONOS'!$B$8:$BC$10012,54,0)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J1034">
        <f t="shared" si="20"/>
        <v>105000</v>
      </c>
      <c r="K1034" t="e">
        <f>VLOOKUP(B1034,'REGISTRO ABONOS'!$B$8:$BC$10012,54,0)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J1035">
        <f t="shared" si="20"/>
        <v>105000</v>
      </c>
      <c r="K1035" t="e">
        <f>VLOOKUP(B1035,'REGISTRO ABONOS'!$B$8:$BC$10012,54,0)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J1036">
        <f t="shared" si="20"/>
        <v>105000</v>
      </c>
      <c r="K1036" t="e">
        <f>VLOOKUP(B1036,'REGISTRO ABONOS'!$B$8:$BC$10012,54,0)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J1037">
        <f t="shared" si="20"/>
        <v>105000</v>
      </c>
      <c r="K1037" t="e">
        <f>VLOOKUP(B1037,'REGISTRO ABONOS'!$B$8:$BC$10012,54,0)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J1038">
        <f t="shared" si="20"/>
        <v>105000</v>
      </c>
      <c r="K1038" t="e">
        <f>VLOOKUP(B1038,'REGISTRO ABONOS'!$B$8:$BC$10012,54,0)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20"/>
        <v>105000</v>
      </c>
      <c r="K1039" t="e">
        <f>VLOOKUP(B1039,'REGISTRO ABONOS'!$B$8:$BC$10012,54,0)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20"/>
        <v>105000</v>
      </c>
      <c r="K1040" t="e">
        <f>VLOOKUP(B1040,'REGISTRO ABONOS'!$B$8:$BC$10012,54,0)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20"/>
        <v>105000</v>
      </c>
      <c r="K1041" t="e">
        <f>VLOOKUP(B1041,'REGISTRO ABONOS'!$B$8:$BC$10012,54,0)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20"/>
        <v>105000</v>
      </c>
      <c r="K1042" t="e">
        <f>VLOOKUP(B1042,'REGISTRO ABONOS'!$B$8:$BC$10012,54,0)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20"/>
        <v>105000</v>
      </c>
      <c r="K1043" t="e">
        <f>VLOOKUP(B1043,'REGISTRO ABONOS'!$B$8:$BC$10012,54,0)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20"/>
        <v>105000</v>
      </c>
      <c r="K1044" t="e">
        <f>VLOOKUP(B1044,'REGISTRO ABONOS'!$B$8:$BC$10012,54,0)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20"/>
        <v>105000</v>
      </c>
      <c r="K1045" t="e">
        <f>VLOOKUP(B1045,'REGISTRO ABONOS'!$B$8:$BC$10012,54,0)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ABONOS'!$B$8:$BC$10012,54,0)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J1047">
        <f t="shared" si="21"/>
        <v>105000</v>
      </c>
      <c r="K1047" t="e">
        <f>VLOOKUP(B1047,'REGISTRO ABONOS'!$B$8:$BC$10012,54,0)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1"/>
        <v>105000</v>
      </c>
      <c r="K1048" t="e">
        <f>VLOOKUP(B1048,'REGISTRO ABONOS'!$B$8:$BC$10012,54,0)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1"/>
        <v>105000</v>
      </c>
      <c r="K1049" t="e">
        <f>VLOOKUP(B1049,'REGISTRO ABONOS'!$B$8:$BC$10012,54,0)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1"/>
        <v>105000</v>
      </c>
      <c r="K1050" t="e">
        <f>VLOOKUP(B1050,'REGISTRO ABONOS'!$B$8:$BC$10012,54,0)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1"/>
        <v>105000</v>
      </c>
      <c r="K1051" t="e">
        <f>VLOOKUP(B1051,'REGISTRO ABONOS'!$B$8:$BC$10012,54,0)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1"/>
        <v>105000</v>
      </c>
      <c r="K1052" t="e">
        <f>VLOOKUP(B1052,'REGISTRO ABONOS'!$B$8:$BC$10012,54,0)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1"/>
        <v>105000</v>
      </c>
      <c r="K1053" t="e">
        <f>VLOOKUP(B1053,'REGISTRO ABONOS'!$B$8:$BC$10012,54,0)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1"/>
        <v>105000</v>
      </c>
      <c r="K1054" t="e">
        <f>VLOOKUP(B1054,'REGISTRO ABONOS'!$B$8:$BC$10012,54,0)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1"/>
        <v>105000</v>
      </c>
      <c r="K1055" t="e">
        <f>VLOOKUP(B1055,'REGISTRO ABONOS'!$B$8:$BC$10012,54,0)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1"/>
        <v>105000</v>
      </c>
      <c r="K1056" t="e">
        <f>VLOOKUP(B1056,'REGISTRO ABONOS'!$B$8:$BC$10012,54,0)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J1057">
        <f t="shared" si="21"/>
        <v>105000</v>
      </c>
      <c r="K1057" t="e">
        <f>VLOOKUP(B1057,'REGISTRO ABONOS'!$B$8:$BC$10012,54,0)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1"/>
        <v>105000</v>
      </c>
      <c r="K1058" t="e">
        <f>VLOOKUP(B1058,'REGISTRO ABONOS'!$B$8:$BC$10012,54,0)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J1059">
        <f t="shared" si="21"/>
        <v>105000</v>
      </c>
      <c r="K1059" t="e">
        <f>VLOOKUP(B1059,'REGISTRO ABONOS'!$B$8:$BC$10012,54,0)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J1060">
        <f t="shared" si="21"/>
        <v>105000</v>
      </c>
      <c r="K1060" t="e">
        <f>VLOOKUP(B1060,'REGISTRO ABONOS'!$B$8:$BC$10012,54,0)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1"/>
        <v>105000</v>
      </c>
      <c r="K1061" t="e">
        <f>VLOOKUP(B1061,'REGISTRO ABONOS'!$B$8:$BC$10012,54,0)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1"/>
        <v>105000</v>
      </c>
      <c r="K1062" t="e">
        <f>VLOOKUP(B1062,'REGISTRO ABONOS'!$B$8:$BC$10012,54,0)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1"/>
        <v>105000</v>
      </c>
      <c r="K1063" t="e">
        <f>VLOOKUP(B1063,'REGISTRO ABONOS'!$B$8:$BC$10012,54,0)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1"/>
        <v>105000</v>
      </c>
      <c r="K1064" t="e">
        <f>VLOOKUP(B1064,'REGISTRO ABONOS'!$B$8:$BC$10012,54,0)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J1065">
        <f t="shared" si="21"/>
        <v>105000</v>
      </c>
      <c r="K1065" t="e">
        <f>VLOOKUP(B1065,'REGISTRO ABONOS'!$B$8:$BC$10012,54,0)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1"/>
        <v>105000</v>
      </c>
      <c r="K1066" t="e">
        <f>VLOOKUP(B1066,'REGISTRO ABONOS'!$B$8:$BC$10012,54,0)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J1067">
        <f t="shared" si="21"/>
        <v>105000</v>
      </c>
      <c r="K1067" t="e">
        <f>VLOOKUP(B1067,'REGISTRO ABONOS'!$B$8:$BC$10012,54,0)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1"/>
        <v>105000</v>
      </c>
      <c r="K1068" t="e">
        <f>VLOOKUP(B1068,'REGISTRO ABONOS'!$B$8:$BC$10012,54,0)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1"/>
        <v>105000</v>
      </c>
      <c r="K1069" t="e">
        <f>VLOOKUP(B1069,'REGISTRO ABONOS'!$B$8:$BC$10012,54,0)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J1070">
        <f t="shared" si="21"/>
        <v>105000</v>
      </c>
      <c r="K1070" t="e">
        <f>VLOOKUP(B1070,'REGISTRO ABONOS'!$B$8:$BC$10012,54,0)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1"/>
        <v>105000</v>
      </c>
      <c r="K1071" t="e">
        <f>VLOOKUP(B1071,'REGISTRO ABONOS'!$B$8:$BC$10012,54,0)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1"/>
        <v>105000</v>
      </c>
      <c r="K1072" t="e">
        <f>VLOOKUP(B1072,'REGISTRO ABONOS'!$B$8:$BC$10012,54,0)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1"/>
        <v>105000</v>
      </c>
      <c r="K1073" t="e">
        <f>VLOOKUP(B1073,'REGISTRO ABONOS'!$B$8:$BC$10012,54,0)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1"/>
        <v>105000</v>
      </c>
      <c r="K1074" t="e">
        <f>VLOOKUP(B1074,'REGISTRO ABONOS'!$B$8:$BC$10012,54,0)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1"/>
        <v>105000</v>
      </c>
      <c r="K1075" t="e">
        <f>VLOOKUP(B1075,'REGISTRO ABONOS'!$B$8:$BC$10012,54,0)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J1076">
        <f t="shared" si="21"/>
        <v>105000</v>
      </c>
      <c r="K1076" t="e">
        <f>VLOOKUP(B1076,'REGISTRO ABONOS'!$B$8:$BC$10012,54,0)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1"/>
        <v>105000</v>
      </c>
      <c r="K1077" t="e">
        <f>VLOOKUP(B1077,'REGISTRO ABONOS'!$B$8:$BC$10012,54,0)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1"/>
        <v>105000</v>
      </c>
      <c r="K1078" t="e">
        <f>VLOOKUP(B1078,'REGISTRO ABONOS'!$B$8:$BC$10012,54,0)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1"/>
        <v>105000</v>
      </c>
      <c r="K1079" t="e">
        <f>VLOOKUP(B1079,'REGISTRO ABONOS'!$B$8:$BC$10012,54,0)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1"/>
        <v>105000</v>
      </c>
      <c r="K1080" t="e">
        <f>VLOOKUP(B1080,'REGISTRO ABONOS'!$B$8:$BC$10012,54,0)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1"/>
        <v>105000</v>
      </c>
      <c r="K1081" t="e">
        <f>VLOOKUP(B1081,'REGISTRO ABONOS'!$B$8:$BC$10012,54,0)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1"/>
        <v>105000</v>
      </c>
      <c r="K1082" t="e">
        <f>VLOOKUP(B1082,'REGISTRO ABONOS'!$B$8:$BC$10012,54,0)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1"/>
        <v>105000</v>
      </c>
      <c r="K1083" t="e">
        <f>VLOOKUP(B1083,'REGISTRO ABONOS'!$B$8:$BC$10012,54,0)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1"/>
        <v>105000</v>
      </c>
      <c r="K1084" t="e">
        <f>VLOOKUP(B1084,'REGISTRO ABONOS'!$B$8:$BC$10012,54,0)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1"/>
        <v>105000</v>
      </c>
      <c r="K1085" t="e">
        <f>VLOOKUP(B1085,'REGISTRO ABONOS'!$B$8:$BC$10012,54,0)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1"/>
        <v>105000</v>
      </c>
      <c r="K1086" t="e">
        <f>VLOOKUP(B1086,'REGISTRO ABONOS'!$B$8:$BC$10012,54,0)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J1087">
        <f t="shared" si="21"/>
        <v>105000</v>
      </c>
      <c r="K1087" t="e">
        <f>VLOOKUP(B1087,'REGISTRO ABONOS'!$B$8:$BC$10012,54,0)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1"/>
        <v>105000</v>
      </c>
      <c r="K1088" t="e">
        <f>VLOOKUP(B1088,'REGISTRO ABONOS'!$B$8:$BC$10012,54,0)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1"/>
        <v>105000</v>
      </c>
      <c r="K1089" t="e">
        <f>VLOOKUP(B1089,'REGISTRO ABONOS'!$B$8:$BC$10012,54,0)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J1090">
        <f t="shared" si="21"/>
        <v>105000</v>
      </c>
      <c r="K1090" t="e">
        <f>VLOOKUP(B1090,'REGISTRO ABONOS'!$B$8:$BC$10012,54,0)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J1091">
        <f t="shared" si="21"/>
        <v>105000</v>
      </c>
      <c r="K1091" t="e">
        <f>VLOOKUP(B1091,'REGISTRO ABONOS'!$B$8:$BC$10012,54,0)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1"/>
        <v>105000</v>
      </c>
      <c r="K1092" t="e">
        <f>VLOOKUP(B1092,'REGISTRO ABONOS'!$B$8:$BC$10012,54,0)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1"/>
        <v>105000</v>
      </c>
      <c r="K1093" t="e">
        <f>VLOOKUP(B1093,'REGISTRO ABONOS'!$B$8:$BC$10012,54,0)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1"/>
        <v>105000</v>
      </c>
      <c r="K1094" t="e">
        <f>VLOOKUP(B1094,'REGISTRO ABONOS'!$B$8:$BC$10012,54,0)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1"/>
        <v>105000</v>
      </c>
      <c r="K1095" t="e">
        <f>VLOOKUP(B1095,'REGISTRO ABONOS'!$B$8:$BC$10012,54,0)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1"/>
        <v>105000</v>
      </c>
      <c r="K1096" t="e">
        <f>VLOOKUP(B1096,'REGISTRO ABONOS'!$B$8:$BC$10012,54,0)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1"/>
        <v>105000</v>
      </c>
      <c r="K1097" t="e">
        <f>VLOOKUP(B1097,'REGISTRO ABONOS'!$B$8:$BC$10012,54,0)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1"/>
        <v>105000</v>
      </c>
      <c r="K1098" t="e">
        <f>VLOOKUP(B1098,'REGISTRO ABONOS'!$B$8:$BC$10012,54,0)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J1099">
        <f t="shared" si="21"/>
        <v>105000</v>
      </c>
      <c r="K1099" t="e">
        <f>VLOOKUP(B1099,'REGISTRO ABONOS'!$B$8:$BC$10012,54,0)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1"/>
        <v>105000</v>
      </c>
      <c r="K1100" t="e">
        <f>VLOOKUP(B1100,'REGISTRO ABONOS'!$B$8:$BC$10012,54,0)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J1101">
        <f t="shared" si="21"/>
        <v>105000</v>
      </c>
      <c r="K1101" t="e">
        <f>VLOOKUP(B1101,'REGISTRO ABONOS'!$B$8:$BC$10012,54,0)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J1102">
        <f t="shared" si="21"/>
        <v>105000</v>
      </c>
      <c r="K1102" t="e">
        <f>VLOOKUP(B1102,'REGISTRO ABONOS'!$B$8:$BC$10012,54,0)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1"/>
        <v>105000</v>
      </c>
      <c r="K1103" t="e">
        <f>VLOOKUP(B1103,'REGISTRO ABONOS'!$B$8:$BC$10012,54,0)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1"/>
        <v>105000</v>
      </c>
      <c r="K1104" t="e">
        <f>VLOOKUP(B1104,'REGISTRO ABONOS'!$B$8:$BC$10012,54,0)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1"/>
        <v>105000</v>
      </c>
      <c r="K1105" t="e">
        <f>VLOOKUP(B1105,'REGISTRO ABONOS'!$B$8:$BC$10012,54,0)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1"/>
        <v>105000</v>
      </c>
      <c r="K1106" t="e">
        <f>VLOOKUP(B1106,'REGISTRO ABONOS'!$B$8:$BC$10012,54,0)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1"/>
        <v>105000</v>
      </c>
      <c r="K1107" t="e">
        <f>VLOOKUP(B1107,'REGISTRO ABONOS'!$B$8:$BC$10012,54,0)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1"/>
        <v>105000</v>
      </c>
      <c r="K1108" t="e">
        <f>VLOOKUP(B1108,'REGISTRO ABONOS'!$B$8:$BC$10012,54,0)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1"/>
        <v>105000</v>
      </c>
      <c r="K1109" t="e">
        <f>VLOOKUP(B1109,'REGISTRO ABONOS'!$B$8:$BC$10012,54,0)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ABONOS'!$B$8:$BC$10012,54,0)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J1111">
        <f t="shared" si="22"/>
        <v>105000</v>
      </c>
      <c r="K1111" t="e">
        <f>VLOOKUP(B1111,'REGISTRO ABONOS'!$B$8:$BC$10012,54,0)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2"/>
        <v>105000</v>
      </c>
      <c r="K1112" t="e">
        <f>VLOOKUP(B1112,'REGISTRO ABONOS'!$B$8:$BC$10012,54,0)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J1113">
        <f t="shared" si="22"/>
        <v>105000</v>
      </c>
      <c r="K1113" t="e">
        <f>VLOOKUP(B1113,'REGISTRO ABONOS'!$B$8:$BC$10012,54,0)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2"/>
        <v>105000</v>
      </c>
      <c r="K1114" t="e">
        <f>VLOOKUP(B1114,'REGISTRO ABONOS'!$B$8:$BC$10012,54,0)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2"/>
        <v>105000</v>
      </c>
      <c r="K1115" t="e">
        <f>VLOOKUP(B1115,'REGISTRO ABONOS'!$B$8:$BC$10012,54,0)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2"/>
        <v>105000</v>
      </c>
      <c r="K1116" t="e">
        <f>VLOOKUP(B1116,'REGISTRO ABONOS'!$B$8:$BC$10012,54,0)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2"/>
        <v>105000</v>
      </c>
      <c r="K1117" t="e">
        <f>VLOOKUP(B1117,'REGISTRO ABONOS'!$B$8:$BC$10012,54,0)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2"/>
        <v>105000</v>
      </c>
      <c r="K1118" t="e">
        <f>VLOOKUP(B1118,'REGISTRO ABONOS'!$B$8:$BC$10012,54,0)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2"/>
        <v>105000</v>
      </c>
      <c r="K1119" t="e">
        <f>VLOOKUP(B1119,'REGISTRO ABONOS'!$B$8:$BC$10012,54,0)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J1120">
        <f t="shared" si="22"/>
        <v>105000</v>
      </c>
      <c r="K1120" t="e">
        <f>VLOOKUP(B1120,'REGISTRO ABONOS'!$B$8:$BC$10012,54,0)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2"/>
        <v>105000</v>
      </c>
      <c r="K1121" t="e">
        <f>VLOOKUP(B1121,'REGISTRO ABONOS'!$B$8:$BC$10012,54,0)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2"/>
        <v>105000</v>
      </c>
      <c r="K1122" t="e">
        <f>VLOOKUP(B1122,'REGISTRO ABONOS'!$B$8:$BC$10012,54,0)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2"/>
        <v>105000</v>
      </c>
      <c r="K1123" t="e">
        <f>VLOOKUP(B1123,'REGISTRO ABONOS'!$B$8:$BC$10012,54,0)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J1124">
        <f t="shared" si="22"/>
        <v>105000</v>
      </c>
      <c r="K1124" t="e">
        <f>VLOOKUP(B1124,'REGISTRO ABONOS'!$B$8:$BC$10012,54,0)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J1125">
        <f t="shared" si="22"/>
        <v>105000</v>
      </c>
      <c r="K1125" t="e">
        <f>VLOOKUP(B1125,'REGISTRO ABONOS'!$B$8:$BC$10012,54,0)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J1126">
        <f t="shared" si="22"/>
        <v>105000</v>
      </c>
      <c r="K1126" t="e">
        <f>VLOOKUP(B1126,'REGISTRO ABONOS'!$B$8:$BC$10012,54,0)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J1127">
        <f t="shared" si="22"/>
        <v>105000</v>
      </c>
      <c r="K1127" t="e">
        <f>VLOOKUP(B1127,'REGISTRO ABONOS'!$B$8:$BC$10012,54,0)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J1128">
        <f t="shared" si="22"/>
        <v>105000</v>
      </c>
      <c r="K1128" t="e">
        <f>VLOOKUP(B1128,'REGISTRO ABONOS'!$B$8:$BC$10012,54,0)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2"/>
        <v>105000</v>
      </c>
      <c r="K1129" t="e">
        <f>VLOOKUP(B1129,'REGISTRO ABONOS'!$B$8:$BC$10012,54,0)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J1130">
        <f t="shared" si="22"/>
        <v>105000</v>
      </c>
      <c r="K1130" t="e">
        <f>VLOOKUP(B1130,'REGISTRO ABONOS'!$B$8:$BC$10012,54,0)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2"/>
        <v>105000</v>
      </c>
      <c r="K1131" t="e">
        <f>VLOOKUP(B1131,'REGISTRO ABONOS'!$B$8:$BC$10012,54,0)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J1132">
        <f t="shared" si="22"/>
        <v>105000</v>
      </c>
      <c r="K1132" t="e">
        <f>VLOOKUP(B1132,'REGISTRO ABONOS'!$B$8:$BC$10012,54,0)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2"/>
        <v>105000</v>
      </c>
      <c r="K1133" t="e">
        <f>VLOOKUP(B1133,'REGISTRO ABONOS'!$B$8:$BC$10012,54,0)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2"/>
        <v>105000</v>
      </c>
      <c r="K1134" t="e">
        <f>VLOOKUP(B1134,'REGISTRO ABONOS'!$B$8:$BC$10012,54,0)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2"/>
        <v>105000</v>
      </c>
      <c r="K1135" t="e">
        <f>VLOOKUP(B1135,'REGISTRO ABONOS'!$B$8:$BC$10012,54,0)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J1136">
        <f t="shared" si="22"/>
        <v>105000</v>
      </c>
      <c r="K1136" t="e">
        <f>VLOOKUP(B1136,'REGISTRO ABONOS'!$B$8:$BC$10012,54,0)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2"/>
        <v>105000</v>
      </c>
      <c r="K1137" t="e">
        <f>VLOOKUP(B1137,'REGISTRO ABONOS'!$B$8:$BC$10012,54,0)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2"/>
        <v>105000</v>
      </c>
      <c r="K1138" t="e">
        <f>VLOOKUP(B1138,'REGISTRO ABONOS'!$B$8:$BC$10012,54,0)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J1139">
        <f t="shared" si="22"/>
        <v>105000</v>
      </c>
      <c r="K1139" t="e">
        <f>VLOOKUP(B1139,'REGISTRO ABONOS'!$B$8:$BC$10012,54,0)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J1140">
        <f t="shared" si="22"/>
        <v>105000</v>
      </c>
      <c r="K1140" t="e">
        <f>VLOOKUP(B1140,'REGISTRO ABONOS'!$B$8:$BC$10012,54,0)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J1141">
        <f t="shared" si="22"/>
        <v>105000</v>
      </c>
      <c r="K1141" t="e">
        <f>VLOOKUP(B1141,'REGISTRO ABONOS'!$B$8:$BC$10012,54,0)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2"/>
        <v>105000</v>
      </c>
      <c r="K1142" t="e">
        <f>VLOOKUP(B1142,'REGISTRO ABONOS'!$B$8:$BC$10012,54,0)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2"/>
        <v>105000</v>
      </c>
      <c r="K1143" t="e">
        <f>VLOOKUP(B1143,'REGISTRO ABONOS'!$B$8:$BC$10012,54,0)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2"/>
        <v>105000</v>
      </c>
      <c r="K1144" t="e">
        <f>VLOOKUP(B1144,'REGISTRO ABONOS'!$B$8:$BC$10012,54,0)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2"/>
        <v>105000</v>
      </c>
      <c r="K1145" t="e">
        <f>VLOOKUP(B1145,'REGISTRO ABONOS'!$B$8:$BC$10012,54,0)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J1146">
        <f t="shared" si="22"/>
        <v>105000</v>
      </c>
      <c r="K1146" t="e">
        <f>VLOOKUP(B1146,'REGISTRO ABONOS'!$B$8:$BC$10012,54,0)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J1147">
        <f t="shared" si="22"/>
        <v>105000</v>
      </c>
      <c r="K1147" t="e">
        <f>VLOOKUP(B1147,'REGISTRO ABONOS'!$B$8:$BC$10012,54,0)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2"/>
        <v>105000</v>
      </c>
      <c r="K1148" t="e">
        <f>VLOOKUP(B1148,'REGISTRO ABONOS'!$B$8:$BC$10012,54,0)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J1149">
        <f t="shared" si="22"/>
        <v>105000</v>
      </c>
      <c r="K1149" t="e">
        <f>VLOOKUP(B1149,'REGISTRO ABONOS'!$B$8:$BC$10012,54,0)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2"/>
        <v>105000</v>
      </c>
      <c r="K1150" t="e">
        <f>VLOOKUP(B1150,'REGISTRO ABONOS'!$B$8:$BC$10012,54,0)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J1151">
        <f t="shared" si="22"/>
        <v>105000</v>
      </c>
      <c r="K1151" t="e">
        <f>VLOOKUP(B1151,'REGISTRO ABONOS'!$B$8:$BC$10012,54,0)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2"/>
        <v>105000</v>
      </c>
      <c r="K1152" t="e">
        <f>VLOOKUP(B1152,'REGISTRO ABONOS'!$B$8:$BC$10012,54,0)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J1153">
        <f t="shared" si="22"/>
        <v>105000</v>
      </c>
      <c r="K1153" t="e">
        <f>VLOOKUP(B1153,'REGISTRO ABONOS'!$B$8:$BC$10012,54,0)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J1154">
        <f t="shared" si="22"/>
        <v>105000</v>
      </c>
      <c r="K1154" t="e">
        <f>VLOOKUP(B1154,'REGISTRO ABONOS'!$B$8:$BC$10012,54,0)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2"/>
        <v>105000</v>
      </c>
      <c r="K1155" t="e">
        <f>VLOOKUP(B1155,'REGISTRO ABONOS'!$B$8:$BC$10012,54,0)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2"/>
        <v>105000</v>
      </c>
      <c r="K1156" t="e">
        <f>VLOOKUP(B1156,'REGISTRO ABONOS'!$B$8:$BC$10012,54,0)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J1157">
        <f t="shared" si="22"/>
        <v>105000</v>
      </c>
      <c r="K1157" t="e">
        <f>VLOOKUP(B1157,'REGISTRO ABONOS'!$B$8:$BC$10012,54,0)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2"/>
        <v>105000</v>
      </c>
      <c r="K1158" t="e">
        <f>VLOOKUP(B1158,'REGISTRO ABONOS'!$B$8:$BC$10012,54,0)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2"/>
        <v>105000</v>
      </c>
      <c r="K1159" t="e">
        <f>VLOOKUP(B1159,'REGISTRO ABONOS'!$B$8:$BC$10012,54,0)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2"/>
        <v>105000</v>
      </c>
      <c r="K1160" t="e">
        <f>VLOOKUP(B1160,'REGISTRO ABONOS'!$B$8:$BC$10012,54,0)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J1161">
        <f t="shared" si="22"/>
        <v>105000</v>
      </c>
      <c r="K1161" t="e">
        <f>VLOOKUP(B1161,'REGISTRO ABONOS'!$B$8:$BC$10012,54,0)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2"/>
        <v>105000</v>
      </c>
      <c r="K1162" t="e">
        <f>VLOOKUP(B1162,'REGISTRO ABONOS'!$B$8:$BC$10012,54,0)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2"/>
        <v>105000</v>
      </c>
      <c r="K1163" t="e">
        <f>VLOOKUP(B1163,'REGISTRO ABONOS'!$B$8:$BC$10012,54,0)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2"/>
        <v>105000</v>
      </c>
      <c r="K1164" t="e">
        <f>VLOOKUP(B1164,'REGISTRO ABONOS'!$B$8:$BC$10012,54,0)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2"/>
        <v>105000</v>
      </c>
      <c r="K1165" t="e">
        <f>VLOOKUP(B1165,'REGISTRO ABONOS'!$B$8:$BC$10012,54,0)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J1166">
        <f t="shared" si="22"/>
        <v>105000</v>
      </c>
      <c r="K1166" t="e">
        <f>VLOOKUP(B1166,'REGISTRO ABONOS'!$B$8:$BC$10012,54,0)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2"/>
        <v>105000</v>
      </c>
      <c r="K1167" t="e">
        <f>VLOOKUP(B1167,'REGISTRO ABONOS'!$B$8:$BC$10012,54,0)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2"/>
        <v>105000</v>
      </c>
      <c r="K1168" t="e">
        <f>VLOOKUP(B1168,'REGISTRO ABONOS'!$B$8:$BC$10012,54,0)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2"/>
        <v>105000</v>
      </c>
      <c r="K1169" t="e">
        <f>VLOOKUP(B1169,'REGISTRO ABONOS'!$B$8:$BC$10012,54,0)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2"/>
        <v>105000</v>
      </c>
      <c r="K1170" t="e">
        <f>VLOOKUP(B1170,'REGISTRO ABONOS'!$B$8:$BC$10012,54,0)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2"/>
        <v>105000</v>
      </c>
      <c r="K1171" t="e">
        <f>VLOOKUP(B1171,'REGISTRO ABONOS'!$B$8:$BC$10012,54,0)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2"/>
        <v>105000</v>
      </c>
      <c r="K1172" t="e">
        <f>VLOOKUP(B1172,'REGISTRO ABONOS'!$B$8:$BC$10012,54,0)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2"/>
        <v>105000</v>
      </c>
      <c r="K1173" t="e">
        <f>VLOOKUP(B1173,'REGISTRO ABONOS'!$B$8:$BC$10012,54,0)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ABONOS'!$B$8:$BC$10012,54,0)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3"/>
        <v>105000</v>
      </c>
      <c r="K1175" t="e">
        <f>VLOOKUP(B1175,'REGISTRO ABONOS'!$B$8:$BC$10012,54,0)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3"/>
        <v>105000</v>
      </c>
      <c r="K1176" t="e">
        <f>VLOOKUP(B1176,'REGISTRO ABONOS'!$B$8:$BC$10012,54,0)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3"/>
        <v>105000</v>
      </c>
      <c r="K1177" t="e">
        <f>VLOOKUP(B1177,'REGISTRO ABONOS'!$B$8:$BC$10012,54,0)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3"/>
        <v>105000</v>
      </c>
      <c r="K1178" t="e">
        <f>VLOOKUP(B1178,'REGISTRO ABONOS'!$B$8:$BC$10012,54,0)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3"/>
        <v>105000</v>
      </c>
      <c r="K1179" t="e">
        <f>VLOOKUP(B1179,'REGISTRO ABONOS'!$B$8:$BC$10012,54,0)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3"/>
        <v>105000</v>
      </c>
      <c r="K1180" t="e">
        <f>VLOOKUP(B1180,'REGISTRO ABONOS'!$B$8:$BC$10012,54,0)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J1181">
        <f t="shared" si="23"/>
        <v>105000</v>
      </c>
      <c r="K1181" t="e">
        <f>VLOOKUP(B1181,'REGISTRO ABONOS'!$B$8:$BC$10012,54,0)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3"/>
        <v>105000</v>
      </c>
      <c r="K1182" t="e">
        <f>VLOOKUP(B1182,'REGISTRO ABONOS'!$B$8:$BC$10012,54,0)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3"/>
        <v>105000</v>
      </c>
      <c r="K1183" t="e">
        <f>VLOOKUP(B1183,'REGISTRO ABONOS'!$B$8:$BC$10012,54,0)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3"/>
        <v>105000</v>
      </c>
      <c r="K1184" t="e">
        <f>VLOOKUP(B1184,'REGISTRO ABONOS'!$B$8:$BC$10012,54,0)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3"/>
        <v>105000</v>
      </c>
      <c r="K1185" t="e">
        <f>VLOOKUP(B1185,'REGISTRO ABONOS'!$B$8:$BC$10012,54,0)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3"/>
        <v>105000</v>
      </c>
      <c r="K1186" t="e">
        <f>VLOOKUP(B1186,'REGISTRO ABONOS'!$B$8:$BC$10012,54,0)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3"/>
        <v>105000</v>
      </c>
      <c r="K1187" t="e">
        <f>VLOOKUP(B1187,'REGISTRO ABONOS'!$B$8:$BC$10012,54,0)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3"/>
        <v>105000</v>
      </c>
      <c r="K1188" t="e">
        <f>VLOOKUP(B1188,'REGISTRO ABONOS'!$B$8:$BC$10012,54,0)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3"/>
        <v>105000</v>
      </c>
      <c r="K1189" t="e">
        <f>VLOOKUP(B1189,'REGISTRO ABONOS'!$B$8:$BC$10012,54,0)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3"/>
        <v>105000</v>
      </c>
      <c r="K1190" t="e">
        <f>VLOOKUP(B1190,'REGISTRO ABONOS'!$B$8:$BC$10012,54,0)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3"/>
        <v>105000</v>
      </c>
      <c r="K1191" t="e">
        <f>VLOOKUP(B1191,'REGISTRO ABONOS'!$B$8:$BC$10012,54,0)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J1192">
        <f t="shared" si="23"/>
        <v>105000</v>
      </c>
      <c r="K1192" t="e">
        <f>VLOOKUP(B1192,'REGISTRO ABONOS'!$B$8:$BC$10012,54,0)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3"/>
        <v>105000</v>
      </c>
      <c r="K1193" t="e">
        <f>VLOOKUP(B1193,'REGISTRO ABONOS'!$B$8:$BC$10012,54,0)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3"/>
        <v>105000</v>
      </c>
      <c r="K1194" t="e">
        <f>VLOOKUP(B1194,'REGISTRO ABONOS'!$B$8:$BC$10012,54,0)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3"/>
        <v>105000</v>
      </c>
      <c r="K1195" t="e">
        <f>VLOOKUP(B1195,'REGISTRO ABONOS'!$B$8:$BC$10012,54,0)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3"/>
        <v>105000</v>
      </c>
      <c r="K1196" t="e">
        <f>VLOOKUP(B1196,'REGISTRO ABONOS'!$B$8:$BC$10012,54,0)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3"/>
        <v>105000</v>
      </c>
      <c r="K1197" t="e">
        <f>VLOOKUP(B1197,'REGISTRO ABONOS'!$B$8:$BC$10012,54,0)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3"/>
        <v>105000</v>
      </c>
      <c r="K1198" t="e">
        <f>VLOOKUP(B1198,'REGISTRO ABONOS'!$B$8:$BC$10012,54,0)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3"/>
        <v>105000</v>
      </c>
      <c r="K1199" t="e">
        <f>VLOOKUP(B1199,'REGISTRO ABONOS'!$B$8:$BC$10012,54,0)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3"/>
        <v>105000</v>
      </c>
      <c r="K1200" t="e">
        <f>VLOOKUP(B1200,'REGISTRO ABONOS'!$B$8:$BC$10012,54,0)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ABONOS'!$B$8:$BC$10012,54,0)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J1202">
        <f t="shared" si="23"/>
        <v>105000</v>
      </c>
      <c r="K1202" t="e">
        <f>VLOOKUP(B1202,'REGISTRO ABONOS'!$B$8:$BC$10012,54,0)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J1203">
        <f t="shared" si="23"/>
        <v>105000</v>
      </c>
      <c r="K1203" t="e">
        <f>VLOOKUP(B1203,'REGISTRO ABONOS'!$B$8:$BC$10012,54,0)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J1204">
        <f t="shared" si="23"/>
        <v>105000</v>
      </c>
      <c r="K1204" t="e">
        <f>VLOOKUP(B1204,'REGISTRO ABONOS'!$B$8:$BC$10012,54,0)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3"/>
        <v>105000</v>
      </c>
      <c r="K1205" t="e">
        <f>VLOOKUP(B1205,'REGISTRO ABONOS'!$B$8:$BC$10012,54,0)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3"/>
        <v>105000</v>
      </c>
      <c r="K1206" t="e">
        <f>VLOOKUP(B1206,'REGISTRO ABONOS'!$B$8:$BC$10012,54,0)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3"/>
        <v>105000</v>
      </c>
      <c r="K1207" t="e">
        <f>VLOOKUP(B1207,'REGISTRO ABONOS'!$B$8:$BC$10012,54,0)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3"/>
        <v>105000</v>
      </c>
      <c r="K1208" t="e">
        <f>VLOOKUP(B1208,'REGISTRO ABONOS'!$B$8:$BC$10012,54,0)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3"/>
        <v>105000</v>
      </c>
      <c r="K1209" t="e">
        <f>VLOOKUP(B1209,'REGISTRO ABONOS'!$B$8:$BC$10012,54,0)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J1210">
        <f t="shared" si="23"/>
        <v>105000</v>
      </c>
      <c r="K1210" t="e">
        <f>VLOOKUP(B1210,'REGISTRO ABONOS'!$B$8:$BC$10012,54,0)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J1211">
        <f t="shared" si="23"/>
        <v>105000</v>
      </c>
      <c r="K1211" t="e">
        <f>VLOOKUP(B1211,'REGISTRO ABONOS'!$B$8:$BC$10012,54,0)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J1212">
        <f t="shared" si="23"/>
        <v>105000</v>
      </c>
      <c r="K1212" t="e">
        <f>VLOOKUP(B1212,'REGISTRO ABONOS'!$B$8:$BC$10012,54,0)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3"/>
        <v>105000</v>
      </c>
      <c r="K1213" t="e">
        <f>VLOOKUP(B1213,'REGISTRO ABONOS'!$B$8:$BC$10012,54,0)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J1214">
        <f t="shared" si="23"/>
        <v>105000</v>
      </c>
      <c r="K1214" t="e">
        <f>VLOOKUP(B1214,'REGISTRO ABONOS'!$B$8:$BC$10012,54,0)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3"/>
        <v>105000</v>
      </c>
      <c r="K1215" t="e">
        <f>VLOOKUP(B1215,'REGISTRO ABONOS'!$B$8:$BC$10012,54,0)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3"/>
        <v>105000</v>
      </c>
      <c r="K1216" t="e">
        <f>VLOOKUP(B1216,'REGISTRO ABONOS'!$B$8:$BC$10012,54,0)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3"/>
        <v>105000</v>
      </c>
      <c r="K1217" t="e">
        <f>VLOOKUP(B1217,'REGISTRO ABONOS'!$B$8:$BC$10012,54,0)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3"/>
        <v>105000</v>
      </c>
      <c r="K1218" t="e">
        <f>VLOOKUP(B1218,'REGISTRO ABONOS'!$B$8:$BC$10012,54,0)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3"/>
        <v>105000</v>
      </c>
      <c r="K1219" t="e">
        <f>VLOOKUP(B1219,'REGISTRO ABONOS'!$B$8:$BC$10012,54,0)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3"/>
        <v>105000</v>
      </c>
      <c r="K1220" t="e">
        <f>VLOOKUP(B1220,'REGISTRO ABONOS'!$B$8:$BC$10012,54,0)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J1221">
        <f t="shared" si="23"/>
        <v>105000</v>
      </c>
      <c r="K1221" t="e">
        <f>VLOOKUP(B1221,'REGISTRO ABONOS'!$B$8:$BC$10012,54,0)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3"/>
        <v>105000</v>
      </c>
      <c r="K1222" t="e">
        <f>VLOOKUP(B1222,'REGISTRO ABONOS'!$B$8:$BC$10012,54,0)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J1223">
        <f t="shared" si="23"/>
        <v>105000</v>
      </c>
      <c r="K1223" t="e">
        <f>VLOOKUP(B1223,'REGISTRO ABONOS'!$B$8:$BC$10012,54,0)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J1224">
        <f t="shared" si="23"/>
        <v>105000</v>
      </c>
      <c r="K1224" t="e">
        <f>VLOOKUP(B1224,'REGISTRO ABONOS'!$B$8:$BC$10012,54,0)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J1225">
        <f t="shared" si="23"/>
        <v>105000</v>
      </c>
      <c r="K1225" t="e">
        <f>VLOOKUP(B1225,'REGISTRO ABONOS'!$B$8:$BC$10012,54,0)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J1226">
        <f t="shared" si="23"/>
        <v>105000</v>
      </c>
      <c r="K1226" t="e">
        <f>VLOOKUP(B1226,'REGISTRO ABONOS'!$B$8:$BC$10012,54,0)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3"/>
        <v>105000</v>
      </c>
      <c r="K1227" t="e">
        <f>VLOOKUP(B1227,'REGISTRO ABONOS'!$B$8:$BC$10012,54,0)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3"/>
        <v>105000</v>
      </c>
      <c r="K1228" t="e">
        <f>VLOOKUP(B1228,'REGISTRO ABONOS'!$B$8:$BC$10012,54,0)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3"/>
        <v>105000</v>
      </c>
      <c r="K1229" t="e">
        <f>VLOOKUP(B1229,'REGISTRO ABONOS'!$B$8:$BC$10012,54,0)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J1230">
        <f t="shared" si="23"/>
        <v>105000</v>
      </c>
      <c r="K1230" t="e">
        <f>VLOOKUP(B1230,'REGISTRO ABONOS'!$B$8:$BC$10012,54,0)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J1231">
        <f t="shared" si="23"/>
        <v>105000</v>
      </c>
      <c r="K1231" t="e">
        <f>VLOOKUP(B1231,'REGISTRO ABONOS'!$B$8:$BC$10012,54,0)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3"/>
        <v>105000</v>
      </c>
      <c r="K1232" t="e">
        <f>VLOOKUP(B1232,'REGISTRO ABONOS'!$B$8:$BC$10012,54,0)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3"/>
        <v>105000</v>
      </c>
      <c r="K1233" t="e">
        <f>VLOOKUP(B1233,'REGISTRO ABONOS'!$B$8:$BC$10012,54,0)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J1234">
        <f t="shared" si="23"/>
        <v>105000</v>
      </c>
      <c r="K1234" t="e">
        <f>VLOOKUP(B1234,'REGISTRO ABONOS'!$B$8:$BC$10012,54,0)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3"/>
        <v>105000</v>
      </c>
      <c r="K1235" t="e">
        <f>VLOOKUP(B1235,'REGISTRO ABONOS'!$B$8:$BC$10012,54,0)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J1236">
        <f t="shared" si="23"/>
        <v>105000</v>
      </c>
      <c r="K1236" t="e">
        <f>VLOOKUP(B1236,'REGISTRO ABONOS'!$B$8:$BC$10012,54,0)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J1237">
        <f t="shared" si="23"/>
        <v>105000</v>
      </c>
      <c r="K1237" t="e">
        <f>VLOOKUP(B1237,'REGISTRO ABONOS'!$B$8:$BC$10012,54,0)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ABONOS'!$B$8:$BC$10012,54,0)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J1239">
        <f t="shared" si="24"/>
        <v>105000</v>
      </c>
      <c r="K1239" t="e">
        <f>VLOOKUP(B1239,'REGISTRO ABONOS'!$B$8:$BC$10012,54,0)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J1240">
        <f t="shared" si="24"/>
        <v>105000</v>
      </c>
      <c r="K1240" t="e">
        <f>VLOOKUP(B1240,'REGISTRO ABONOS'!$B$8:$BC$10012,54,0)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4"/>
        <v>105000</v>
      </c>
      <c r="K1241" t="e">
        <f>VLOOKUP(B1241,'REGISTRO ABONOS'!$B$8:$BC$10012,54,0)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4"/>
        <v>105000</v>
      </c>
      <c r="K1242" t="e">
        <f>VLOOKUP(B1242,'REGISTRO ABONOS'!$B$8:$BC$10012,54,0)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J1243">
        <f t="shared" si="24"/>
        <v>105000</v>
      </c>
      <c r="K1243" t="e">
        <f>VLOOKUP(B1243,'REGISTRO ABONOS'!$B$8:$BC$10012,54,0)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4"/>
        <v>105000</v>
      </c>
      <c r="K1244" t="e">
        <f>VLOOKUP(B1244,'REGISTRO ABONOS'!$B$8:$BC$10012,54,0)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4"/>
        <v>105000</v>
      </c>
      <c r="K1245" t="e">
        <f>VLOOKUP(B1245,'REGISTRO ABONOS'!$B$8:$BC$10012,54,0)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J1246">
        <f t="shared" si="24"/>
        <v>105000</v>
      </c>
      <c r="K1246" t="e">
        <f>VLOOKUP(B1246,'REGISTRO ABONOS'!$B$8:$BC$10012,54,0)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4"/>
        <v>105000</v>
      </c>
      <c r="K1247" t="e">
        <f>VLOOKUP(B1247,'REGISTRO ABONOS'!$B$8:$BC$10012,54,0)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4"/>
        <v>105000</v>
      </c>
      <c r="K1248" t="e">
        <f>VLOOKUP(B1248,'REGISTRO ABONOS'!$B$8:$BC$10012,54,0)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J1249">
        <f t="shared" si="24"/>
        <v>105000</v>
      </c>
      <c r="K1249" t="e">
        <f>VLOOKUP(B1249,'REGISTRO ABONOS'!$B$8:$BC$10012,54,0)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J1250">
        <f t="shared" si="24"/>
        <v>105000</v>
      </c>
      <c r="K1250" t="e">
        <f>VLOOKUP(B1250,'REGISTRO ABONOS'!$B$8:$BC$10012,54,0)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4"/>
        <v>105000</v>
      </c>
      <c r="K1251" t="e">
        <f>VLOOKUP(B1251,'REGISTRO ABONOS'!$B$8:$BC$10012,54,0)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4"/>
        <v>105000</v>
      </c>
      <c r="K1252" t="e">
        <f>VLOOKUP(B1252,'REGISTRO ABONOS'!$B$8:$BC$10012,54,0)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4"/>
        <v>105000</v>
      </c>
      <c r="K1253" t="e">
        <f>VLOOKUP(B1253,'REGISTRO ABONOS'!$B$8:$BC$10012,54,0)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J1254">
        <f t="shared" si="24"/>
        <v>105000</v>
      </c>
      <c r="K1254" t="e">
        <f>VLOOKUP(B1254,'REGISTRO ABONOS'!$B$8:$BC$10012,54,0)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4"/>
        <v>105000</v>
      </c>
      <c r="K1255" t="e">
        <f>VLOOKUP(B1255,'REGISTRO ABONOS'!$B$8:$BC$10012,54,0)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J1256">
        <f t="shared" si="24"/>
        <v>105000</v>
      </c>
      <c r="K1256" t="e">
        <f>VLOOKUP(B1256,'REGISTRO ABONOS'!$B$8:$BC$10012,54,0)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J1257">
        <f t="shared" si="24"/>
        <v>105000</v>
      </c>
      <c r="K1257" t="e">
        <f>VLOOKUP(B1257,'REGISTRO ABONOS'!$B$8:$BC$10012,54,0)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J1258">
        <f t="shared" si="24"/>
        <v>105000</v>
      </c>
      <c r="K1258" t="e">
        <f>VLOOKUP(B1258,'REGISTRO ABONOS'!$B$8:$BC$10012,54,0)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J1259">
        <f t="shared" si="24"/>
        <v>105000</v>
      </c>
      <c r="K1259" t="e">
        <f>VLOOKUP(B1259,'REGISTRO ABONOS'!$B$8:$BC$10012,54,0)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J1260">
        <f t="shared" si="24"/>
        <v>105000</v>
      </c>
      <c r="K1260" t="e">
        <f>VLOOKUP(B1260,'REGISTRO ABONOS'!$B$8:$BC$10012,54,0)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4"/>
        <v>105000</v>
      </c>
      <c r="K1261" t="e">
        <f>VLOOKUP(B1261,'REGISTRO ABONOS'!$B$8:$BC$10012,54,0)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4"/>
        <v>105000</v>
      </c>
      <c r="K1262" t="e">
        <f>VLOOKUP(B1262,'REGISTRO ABONOS'!$B$8:$BC$10012,54,0)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J1263">
        <f t="shared" si="24"/>
        <v>105000</v>
      </c>
      <c r="K1263" t="e">
        <f>VLOOKUP(B1263,'REGISTRO ABONOS'!$B$8:$BC$10012,54,0)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4"/>
        <v>105000</v>
      </c>
      <c r="K1264" t="e">
        <f>VLOOKUP(B1264,'REGISTRO ABONOS'!$B$8:$BC$10012,54,0)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4"/>
        <v>105000</v>
      </c>
      <c r="K1265" t="e">
        <f>VLOOKUP(B1265,'REGISTRO ABONOS'!$B$8:$BC$10012,54,0)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4"/>
        <v>105000</v>
      </c>
      <c r="K1266" t="e">
        <f>VLOOKUP(B1266,'REGISTRO ABONOS'!$B$8:$BC$10012,54,0)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4"/>
        <v>105000</v>
      </c>
      <c r="K1267" t="e">
        <f>VLOOKUP(B1267,'REGISTRO ABONOS'!$B$8:$BC$10012,54,0)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4"/>
        <v>105000</v>
      </c>
      <c r="K1268" t="e">
        <f>VLOOKUP(B1268,'REGISTRO ABONOS'!$B$8:$BC$10012,54,0)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4"/>
        <v>105000</v>
      </c>
      <c r="K1269" t="e">
        <f>VLOOKUP(B1269,'REGISTRO ABONOS'!$B$8:$BC$10012,54,0)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J1270">
        <f t="shared" si="24"/>
        <v>105000</v>
      </c>
      <c r="K1270" t="e">
        <f>VLOOKUP(B1270,'REGISTRO ABONOS'!$B$8:$BC$10012,54,0)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4"/>
        <v>105000</v>
      </c>
      <c r="K1271" t="e">
        <f>VLOOKUP(B1271,'REGISTRO ABONOS'!$B$8:$BC$10012,54,0)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4"/>
        <v>105000</v>
      </c>
      <c r="K1272" t="e">
        <f>VLOOKUP(B1272,'REGISTRO ABONOS'!$B$8:$BC$10012,54,0)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4"/>
        <v>105000</v>
      </c>
      <c r="K1273" t="e">
        <f>VLOOKUP(B1273,'REGISTRO ABONOS'!$B$8:$BC$10012,54,0)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4"/>
        <v>105000</v>
      </c>
      <c r="K1274" t="e">
        <f>VLOOKUP(B1274,'REGISTRO ABONOS'!$B$8:$BC$10012,54,0)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4"/>
        <v>105000</v>
      </c>
      <c r="K1275" t="e">
        <f>VLOOKUP(B1275,'REGISTRO ABONOS'!$B$8:$BC$10012,54,0)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4"/>
        <v>105000</v>
      </c>
      <c r="K1276" t="e">
        <f>VLOOKUP(B1276,'REGISTRO ABONOS'!$B$8:$BC$10012,54,0)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4"/>
        <v>105000</v>
      </c>
      <c r="K1277" t="e">
        <f>VLOOKUP(B1277,'REGISTRO ABONOS'!$B$8:$BC$10012,54,0)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4"/>
        <v>105000</v>
      </c>
      <c r="K1278" t="e">
        <f>VLOOKUP(B1278,'REGISTRO ABONOS'!$B$8:$BC$10012,54,0)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4"/>
        <v>105000</v>
      </c>
      <c r="K1279" t="e">
        <f>VLOOKUP(B1279,'REGISTRO ABONOS'!$B$8:$BC$10012,54,0)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4"/>
        <v>105000</v>
      </c>
      <c r="K1280" t="e">
        <f>VLOOKUP(B1280,'REGISTRO ABONOS'!$B$8:$BC$10012,54,0)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4"/>
        <v>105000</v>
      </c>
      <c r="K1281" t="e">
        <f>VLOOKUP(B1281,'REGISTRO ABONOS'!$B$8:$BC$10012,54,0)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4"/>
        <v>105000</v>
      </c>
      <c r="K1282" t="e">
        <f>VLOOKUP(B1282,'REGISTRO ABONOS'!$B$8:$BC$10012,54,0)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4"/>
        <v>105000</v>
      </c>
      <c r="K1283" t="e">
        <f>VLOOKUP(B1283,'REGISTRO ABONOS'!$B$8:$BC$10012,54,0)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J1284">
        <f t="shared" si="24"/>
        <v>105000</v>
      </c>
      <c r="K1284" t="e">
        <f>VLOOKUP(B1284,'REGISTRO ABONOS'!$B$8:$BC$10012,54,0)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J1285">
        <f t="shared" si="24"/>
        <v>105000</v>
      </c>
      <c r="K1285" t="e">
        <f>VLOOKUP(B1285,'REGISTRO ABONOS'!$B$8:$BC$10012,54,0)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4"/>
        <v>105000</v>
      </c>
      <c r="K1286" t="e">
        <f>VLOOKUP(B1286,'REGISTRO ABONOS'!$B$8:$BC$10012,54,0)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4"/>
        <v>105000</v>
      </c>
      <c r="K1287" t="e">
        <f>VLOOKUP(B1287,'REGISTRO ABONOS'!$B$8:$BC$10012,54,0)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J1288">
        <f t="shared" si="24"/>
        <v>105000</v>
      </c>
      <c r="K1288" t="e">
        <f>VLOOKUP(B1288,'REGISTRO ABONOS'!$B$8:$BC$10012,54,0)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J1289">
        <f t="shared" si="24"/>
        <v>105000</v>
      </c>
      <c r="K1289" t="e">
        <f>VLOOKUP(B1289,'REGISTRO ABONOS'!$B$8:$BC$10012,54,0)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4"/>
        <v>105000</v>
      </c>
      <c r="K1290" t="e">
        <f>VLOOKUP(B1290,'REGISTRO ABONOS'!$B$8:$BC$10012,54,0)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J1291">
        <f t="shared" si="24"/>
        <v>105000</v>
      </c>
      <c r="K1291" t="e">
        <f>VLOOKUP(B1291,'REGISTRO ABONOS'!$B$8:$BC$10012,54,0)</f>
        <v>#N/A</v>
      </c>
      <c r="L1291" t="e">
        <f>IF(Tabla26[[#This Row],[VALOR RESTANTE]]&lt;Tabla26[[#This Row],[VALOR]],"NO DISPONIBLE","DISPONIBLE")</f>
        <v>#N/A</v>
      </c>
      <c r="M1291" s="9">
        <f>COUNTIF(Tabla26[[#This Row],[VALOR RESTANTE]],0)</f>
        <v>0</v>
      </c>
    </row>
    <row r="1292" spans="2:13" x14ac:dyDescent="0.2">
      <c r="B1292" s="31">
        <v>1283</v>
      </c>
      <c r="J1292">
        <f t="shared" si="24"/>
        <v>105000</v>
      </c>
      <c r="K1292" t="e">
        <f>VLOOKUP(B1292,'REGISTRO ABONOS'!$B$8:$BC$10012,54,0)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4"/>
        <v>105000</v>
      </c>
      <c r="K1293" t="e">
        <f>VLOOKUP(B1293,'REGISTRO ABONOS'!$B$8:$BC$10012,54,0)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4"/>
        <v>105000</v>
      </c>
      <c r="K1294" t="e">
        <f>VLOOKUP(B1294,'REGISTRO ABONOS'!$B$8:$BC$10012,54,0)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4"/>
        <v>105000</v>
      </c>
      <c r="K1295" t="e">
        <f>VLOOKUP(B1295,'REGISTRO ABONOS'!$B$8:$BC$10012,54,0)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J1296">
        <f t="shared" si="24"/>
        <v>105000</v>
      </c>
      <c r="K1296" t="e">
        <f>VLOOKUP(B1296,'REGISTRO ABONOS'!$B$8:$BC$10012,54,0)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4"/>
        <v>105000</v>
      </c>
      <c r="K1297" t="e">
        <f>VLOOKUP(B1297,'REGISTRO ABONOS'!$B$8:$BC$10012,54,0)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4"/>
        <v>105000</v>
      </c>
      <c r="K1298" t="e">
        <f>VLOOKUP(B1298,'REGISTRO ABONOS'!$B$8:$BC$10012,54,0)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4"/>
        <v>105000</v>
      </c>
      <c r="K1299" t="e">
        <f>VLOOKUP(B1299,'REGISTRO ABONOS'!$B$8:$BC$10012,54,0)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4"/>
        <v>105000</v>
      </c>
      <c r="K1300" t="e">
        <f>VLOOKUP(B1300,'REGISTRO ABONOS'!$B$8:$BC$10012,54,0)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4"/>
        <v>105000</v>
      </c>
      <c r="K1301" t="e">
        <f>VLOOKUP(B1301,'REGISTRO ABONOS'!$B$8:$BC$10012,54,0)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ABONOS'!$B$8:$BC$10012,54,0)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5"/>
        <v>105000</v>
      </c>
      <c r="K1303" t="e">
        <f>VLOOKUP(B1303,'REGISTRO ABONOS'!$B$8:$BC$10012,54,0)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J1304">
        <f t="shared" si="25"/>
        <v>105000</v>
      </c>
      <c r="K1304" t="e">
        <f>VLOOKUP(B1304,'REGISTRO ABONOS'!$B$8:$BC$10012,54,0)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5"/>
        <v>105000</v>
      </c>
      <c r="K1305" t="e">
        <f>VLOOKUP(B1305,'REGISTRO ABONOS'!$B$8:$BC$10012,54,0)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J1306">
        <f t="shared" si="25"/>
        <v>105000</v>
      </c>
      <c r="K1306" t="e">
        <f>VLOOKUP(B1306,'REGISTRO ABONOS'!$B$8:$BC$10012,54,0)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5"/>
        <v>105000</v>
      </c>
      <c r="K1307" t="e">
        <f>VLOOKUP(B1307,'REGISTRO ABONOS'!$B$8:$BC$10012,54,0)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5"/>
        <v>105000</v>
      </c>
      <c r="K1308" t="e">
        <f>VLOOKUP(B1308,'REGISTRO ABONOS'!$B$8:$BC$10012,54,0)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5"/>
        <v>105000</v>
      </c>
      <c r="K1309" t="e">
        <f>VLOOKUP(B1309,'REGISTRO ABONOS'!$B$8:$BC$10012,54,0)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J1310">
        <f t="shared" si="25"/>
        <v>105000</v>
      </c>
      <c r="K1310" t="e">
        <f>VLOOKUP(B1310,'REGISTRO ABONOS'!$B$8:$BC$10012,54,0)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5"/>
        <v>105000</v>
      </c>
      <c r="K1311" t="e">
        <f>VLOOKUP(B1311,'REGISTRO ABONOS'!$B$8:$BC$10012,54,0)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J1312">
        <f t="shared" si="25"/>
        <v>105000</v>
      </c>
      <c r="K1312" t="e">
        <f>VLOOKUP(B1312,'REGISTRO ABONOS'!$B$8:$BC$10012,54,0)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J1313">
        <f t="shared" si="25"/>
        <v>105000</v>
      </c>
      <c r="K1313" t="e">
        <f>VLOOKUP(B1313,'REGISTRO ABONOS'!$B$8:$BC$10012,54,0)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5"/>
        <v>105000</v>
      </c>
      <c r="K1314" t="e">
        <f>VLOOKUP(B1314,'REGISTRO ABONOS'!$B$8:$BC$10012,54,0)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J1315">
        <f t="shared" si="25"/>
        <v>105000</v>
      </c>
      <c r="K1315" t="e">
        <f>VLOOKUP(B1315,'REGISTRO ABONOS'!$B$8:$BC$10012,54,0)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5"/>
        <v>105000</v>
      </c>
      <c r="K1316" t="e">
        <f>VLOOKUP(B1316,'REGISTRO ABONOS'!$B$8:$BC$10012,54,0)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J1317">
        <f t="shared" si="25"/>
        <v>105000</v>
      </c>
      <c r="K1317" t="e">
        <f>VLOOKUP(B1317,'REGISTRO ABONOS'!$B$8:$BC$10012,54,0)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5"/>
        <v>105000</v>
      </c>
      <c r="K1318" t="e">
        <f>VLOOKUP(B1318,'REGISTRO ABONOS'!$B$8:$BC$10012,54,0)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5"/>
        <v>105000</v>
      </c>
      <c r="K1319" t="e">
        <f>VLOOKUP(B1319,'REGISTRO ABONOS'!$B$8:$BC$10012,54,0)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J1320">
        <f t="shared" si="25"/>
        <v>105000</v>
      </c>
      <c r="K1320" t="e">
        <f>VLOOKUP(B1320,'REGISTRO ABONOS'!$B$8:$BC$10012,54,0)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5"/>
        <v>105000</v>
      </c>
      <c r="K1321" t="e">
        <f>VLOOKUP(B1321,'REGISTRO ABONOS'!$B$8:$BC$10012,54,0)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5"/>
        <v>105000</v>
      </c>
      <c r="K1322" t="e">
        <f>VLOOKUP(B1322,'REGISTRO ABONOS'!$B$8:$BC$10012,54,0)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5"/>
        <v>105000</v>
      </c>
      <c r="K1323" t="e">
        <f>VLOOKUP(B1323,'REGISTRO ABONOS'!$B$8:$BC$10012,54,0)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5"/>
        <v>105000</v>
      </c>
      <c r="K1324" t="e">
        <f>VLOOKUP(B1324,'REGISTRO ABONOS'!$B$8:$BC$10012,54,0)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J1325">
        <f t="shared" si="25"/>
        <v>105000</v>
      </c>
      <c r="K1325" t="e">
        <f>VLOOKUP(B1325,'REGISTRO ABONOS'!$B$8:$BC$10012,54,0)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J1326">
        <f t="shared" si="25"/>
        <v>105000</v>
      </c>
      <c r="K1326" t="e">
        <f>VLOOKUP(B1326,'REGISTRO ABONOS'!$B$8:$BC$10012,54,0)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5"/>
        <v>105000</v>
      </c>
      <c r="K1327" t="e">
        <f>VLOOKUP(B1327,'REGISTRO ABONOS'!$B$8:$BC$10012,54,0)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J1328">
        <f t="shared" si="25"/>
        <v>105000</v>
      </c>
      <c r="K1328" t="e">
        <f>VLOOKUP(B1328,'REGISTRO ABONOS'!$B$8:$BC$10012,54,0)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J1329">
        <f t="shared" si="25"/>
        <v>105000</v>
      </c>
      <c r="K1329" t="e">
        <f>VLOOKUP(B1329,'REGISTRO ABONOS'!$B$8:$BC$10012,54,0)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J1330">
        <f t="shared" si="25"/>
        <v>105000</v>
      </c>
      <c r="K1330" t="e">
        <f>VLOOKUP(B1330,'REGISTRO ABONOS'!$B$8:$BC$10012,54,0)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J1331">
        <f t="shared" si="25"/>
        <v>105000</v>
      </c>
      <c r="K1331" t="e">
        <f>VLOOKUP(B1331,'REGISTRO ABONOS'!$B$8:$BC$10012,54,0)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5"/>
        <v>105000</v>
      </c>
      <c r="K1332" t="e">
        <f>VLOOKUP(B1332,'REGISTRO ABONOS'!$B$8:$BC$10012,54,0)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5"/>
        <v>105000</v>
      </c>
      <c r="K1333" t="e">
        <f>VLOOKUP(B1333,'REGISTRO ABONOS'!$B$8:$BC$10012,54,0)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J1334">
        <f t="shared" si="25"/>
        <v>105000</v>
      </c>
      <c r="K1334" t="e">
        <f>VLOOKUP(B1334,'REGISTRO ABONOS'!$B$8:$BC$10012,54,0)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J1335">
        <f t="shared" si="25"/>
        <v>105000</v>
      </c>
      <c r="K1335" t="e">
        <f>VLOOKUP(B1335,'REGISTRO ABONOS'!$B$8:$BC$10012,54,0)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J1336">
        <f t="shared" si="25"/>
        <v>105000</v>
      </c>
      <c r="K1336" t="e">
        <f>VLOOKUP(B1336,'REGISTRO ABONOS'!$B$8:$BC$10012,54,0)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J1337">
        <f t="shared" si="25"/>
        <v>105000</v>
      </c>
      <c r="K1337" t="e">
        <f>VLOOKUP(B1337,'REGISTRO ABONOS'!$B$8:$BC$10012,54,0)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J1338">
        <f t="shared" si="25"/>
        <v>105000</v>
      </c>
      <c r="K1338" t="e">
        <f>VLOOKUP(B1338,'REGISTRO ABONOS'!$B$8:$BC$10012,54,0)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5"/>
        <v>105000</v>
      </c>
      <c r="K1339" t="e">
        <f>VLOOKUP(B1339,'REGISTRO ABONOS'!$B$8:$BC$10012,54,0)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5"/>
        <v>105000</v>
      </c>
      <c r="K1340" t="e">
        <f>VLOOKUP(B1340,'REGISTRO ABONOS'!$B$8:$BC$10012,54,0)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5"/>
        <v>105000</v>
      </c>
      <c r="K1341" t="e">
        <f>VLOOKUP(B1341,'REGISTRO ABONOS'!$B$8:$BC$10012,54,0)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5"/>
        <v>105000</v>
      </c>
      <c r="K1342" t="e">
        <f>VLOOKUP(B1342,'REGISTRO ABONOS'!$B$8:$BC$10012,54,0)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5"/>
        <v>105000</v>
      </c>
      <c r="K1343" t="e">
        <f>VLOOKUP(B1343,'REGISTRO ABONOS'!$B$8:$BC$10012,54,0)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J1344">
        <f t="shared" si="25"/>
        <v>105000</v>
      </c>
      <c r="K1344" t="e">
        <f>VLOOKUP(B1344,'REGISTRO ABONOS'!$B$8:$BC$10012,54,0)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J1345">
        <f t="shared" si="25"/>
        <v>105000</v>
      </c>
      <c r="K1345" t="e">
        <f>VLOOKUP(B1345,'REGISTRO ABONOS'!$B$8:$BC$10012,54,0)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5"/>
        <v>105000</v>
      </c>
      <c r="K1346" t="e">
        <f>VLOOKUP(B1346,'REGISTRO ABONOS'!$B$8:$BC$10012,54,0)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J1347">
        <f t="shared" si="25"/>
        <v>105000</v>
      </c>
      <c r="K1347" t="e">
        <f>VLOOKUP(B1347,'REGISTRO ABONOS'!$B$8:$BC$10012,54,0)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J1348">
        <f t="shared" si="25"/>
        <v>105000</v>
      </c>
      <c r="K1348" t="e">
        <f>VLOOKUP(B1348,'REGISTRO ABONOS'!$B$8:$BC$10012,54,0)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J1349">
        <f t="shared" si="25"/>
        <v>105000</v>
      </c>
      <c r="K1349" t="e">
        <f>VLOOKUP(B1349,'REGISTRO ABONOS'!$B$8:$BC$10012,54,0)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5"/>
        <v>105000</v>
      </c>
      <c r="K1350" t="e">
        <f>VLOOKUP(B1350,'REGISTRO ABONOS'!$B$8:$BC$10012,54,0)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J1351">
        <f t="shared" si="25"/>
        <v>105000</v>
      </c>
      <c r="K1351" t="e">
        <f>VLOOKUP(B1351,'REGISTRO ABONOS'!$B$8:$BC$10012,54,0)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J1352">
        <f t="shared" si="25"/>
        <v>105000</v>
      </c>
      <c r="K1352" t="e">
        <f>VLOOKUP(B1352,'REGISTRO ABONOS'!$B$8:$BC$10012,54,0)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5"/>
        <v>105000</v>
      </c>
      <c r="K1353" t="e">
        <f>VLOOKUP(B1353,'REGISTRO ABONOS'!$B$8:$BC$10012,54,0)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J1354">
        <f t="shared" si="25"/>
        <v>105000</v>
      </c>
      <c r="K1354" t="e">
        <f>VLOOKUP(B1354,'REGISTRO ABONOS'!$B$8:$BC$10012,54,0)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J1355">
        <f t="shared" si="25"/>
        <v>105000</v>
      </c>
      <c r="K1355" t="e">
        <f>VLOOKUP(B1355,'REGISTRO ABONOS'!$B$8:$BC$10012,54,0)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J1356">
        <f t="shared" si="25"/>
        <v>105000</v>
      </c>
      <c r="K1356" t="e">
        <f>VLOOKUP(B1356,'REGISTRO ABONOS'!$B$8:$BC$10012,54,0)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5"/>
        <v>105000</v>
      </c>
      <c r="K1357" t="e">
        <f>VLOOKUP(B1357,'REGISTRO ABONOS'!$B$8:$BC$10012,54,0)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J1358">
        <f t="shared" si="25"/>
        <v>105000</v>
      </c>
      <c r="K1358" t="e">
        <f>VLOOKUP(B1358,'REGISTRO ABONOS'!$B$8:$BC$10012,54,0)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J1359">
        <f t="shared" si="25"/>
        <v>105000</v>
      </c>
      <c r="K1359" t="e">
        <f>VLOOKUP(B1359,'REGISTRO ABONOS'!$B$8:$BC$10012,54,0)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J1360">
        <f t="shared" si="25"/>
        <v>105000</v>
      </c>
      <c r="K1360" t="e">
        <f>VLOOKUP(B1360,'REGISTRO ABONOS'!$B$8:$BC$10012,54,0)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J1361">
        <f t="shared" si="25"/>
        <v>105000</v>
      </c>
      <c r="K1361" t="e">
        <f>VLOOKUP(B1361,'REGISTRO ABONOS'!$B$8:$BC$10012,54,0)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5"/>
        <v>105000</v>
      </c>
      <c r="K1362" t="e">
        <f>VLOOKUP(B1362,'REGISTRO ABONOS'!$B$8:$BC$10012,54,0)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J1363">
        <f t="shared" si="25"/>
        <v>105000</v>
      </c>
      <c r="K1363" t="e">
        <f>VLOOKUP(B1363,'REGISTRO ABONOS'!$B$8:$BC$10012,54,0)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J1364">
        <f t="shared" si="25"/>
        <v>105000</v>
      </c>
      <c r="K1364" t="e">
        <f>VLOOKUP(B1364,'REGISTRO ABONOS'!$B$8:$BC$10012,54,0)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5"/>
        <v>105000</v>
      </c>
      <c r="K1365" t="e">
        <f>VLOOKUP(B1365,'REGISTRO ABONOS'!$B$8:$BC$10012,54,0)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ABONOS'!$B$8:$BC$10012,54,0)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J1367">
        <f t="shared" si="26"/>
        <v>105000</v>
      </c>
      <c r="K1367" t="e">
        <f>VLOOKUP(B1367,'REGISTRO ABONOS'!$B$8:$BC$10012,54,0)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J1368">
        <f t="shared" si="26"/>
        <v>105000</v>
      </c>
      <c r="K1368" t="e">
        <f>VLOOKUP(B1368,'REGISTRO ABONOS'!$B$8:$BC$10012,54,0)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J1369">
        <f t="shared" si="26"/>
        <v>105000</v>
      </c>
      <c r="K1369" t="e">
        <f>VLOOKUP(B1369,'REGISTRO ABONOS'!$B$8:$BC$10012,54,0)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J1370">
        <f t="shared" si="26"/>
        <v>105000</v>
      </c>
      <c r="K1370" t="e">
        <f>VLOOKUP(B1370,'REGISTRO ABONOS'!$B$8:$BC$10012,54,0)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J1371">
        <f t="shared" si="26"/>
        <v>105000</v>
      </c>
      <c r="K1371" t="e">
        <f>VLOOKUP(B1371,'REGISTRO ABONOS'!$B$8:$BC$10012,54,0)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J1372">
        <f t="shared" si="26"/>
        <v>105000</v>
      </c>
      <c r="K1372" t="e">
        <f>VLOOKUP(B1372,'REGISTRO ABONOS'!$B$8:$BC$10012,54,0)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J1373">
        <f t="shared" si="26"/>
        <v>105000</v>
      </c>
      <c r="K1373" t="e">
        <f>VLOOKUP(B1373,'REGISTRO ABONOS'!$B$8:$BC$10012,54,0)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J1374">
        <f t="shared" si="26"/>
        <v>105000</v>
      </c>
      <c r="K1374" t="e">
        <f>VLOOKUP(B1374,'REGISTRO ABONOS'!$B$8:$BC$10012,54,0)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J1375">
        <f t="shared" si="26"/>
        <v>105000</v>
      </c>
      <c r="K1375" t="e">
        <f>VLOOKUP(B1375,'REGISTRO ABONOS'!$B$8:$BC$10012,54,0)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6"/>
        <v>105000</v>
      </c>
      <c r="K1376" t="e">
        <f>VLOOKUP(B1376,'REGISTRO ABONOS'!$B$8:$BC$10012,54,0)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6"/>
        <v>105000</v>
      </c>
      <c r="K1377" t="e">
        <f>VLOOKUP(B1377,'REGISTRO ABONOS'!$B$8:$BC$10012,54,0)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J1378">
        <f t="shared" si="26"/>
        <v>105000</v>
      </c>
      <c r="K1378" t="e">
        <f>VLOOKUP(B1378,'REGISTRO ABONOS'!$B$8:$BC$10012,54,0)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6"/>
        <v>105000</v>
      </c>
      <c r="K1379" t="e">
        <f>VLOOKUP(B1379,'REGISTRO ABONOS'!$B$8:$BC$10012,54,0)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J1380">
        <f t="shared" si="26"/>
        <v>105000</v>
      </c>
      <c r="K1380" t="e">
        <f>VLOOKUP(B1380,'REGISTRO ABONOS'!$B$8:$BC$10012,54,0)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6"/>
        <v>105000</v>
      </c>
      <c r="K1381" t="e">
        <f>VLOOKUP(B1381,'REGISTRO ABONOS'!$B$8:$BC$10012,54,0)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J1382">
        <f t="shared" si="26"/>
        <v>105000</v>
      </c>
      <c r="K1382" t="e">
        <f>VLOOKUP(B1382,'REGISTRO ABONOS'!$B$8:$BC$10012,54,0)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6"/>
        <v>105000</v>
      </c>
      <c r="K1383" t="e">
        <f>VLOOKUP(B1383,'REGISTRO ABONOS'!$B$8:$BC$10012,54,0)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6"/>
        <v>105000</v>
      </c>
      <c r="K1384" t="e">
        <f>VLOOKUP(B1384,'REGISTRO ABONOS'!$B$8:$BC$10012,54,0)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6"/>
        <v>105000</v>
      </c>
      <c r="K1385" t="e">
        <f>VLOOKUP(B1385,'REGISTRO ABONOS'!$B$8:$BC$10012,54,0)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6"/>
        <v>105000</v>
      </c>
      <c r="K1386" t="e">
        <f>VLOOKUP(B1386,'REGISTRO ABONOS'!$B$8:$BC$10012,54,0)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6"/>
        <v>105000</v>
      </c>
      <c r="K1387" t="e">
        <f>VLOOKUP(B1387,'REGISTRO ABONOS'!$B$8:$BC$10012,54,0)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6"/>
        <v>105000</v>
      </c>
      <c r="K1388" t="e">
        <f>VLOOKUP(B1388,'REGISTRO ABONOS'!$B$8:$BC$10012,54,0)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6"/>
        <v>105000</v>
      </c>
      <c r="K1389" t="e">
        <f>VLOOKUP(B1389,'REGISTRO ABONOS'!$B$8:$BC$10012,54,0)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6"/>
        <v>105000</v>
      </c>
      <c r="K1390" t="e">
        <f>VLOOKUP(B1390,'REGISTRO ABONOS'!$B$8:$BC$10012,54,0)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6"/>
        <v>105000</v>
      </c>
      <c r="K1391" t="e">
        <f>VLOOKUP(B1391,'REGISTRO ABONOS'!$B$8:$BC$10012,54,0)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J1392">
        <f t="shared" si="26"/>
        <v>105000</v>
      </c>
      <c r="K1392" t="e">
        <f>VLOOKUP(B1392,'REGISTRO ABONOS'!$B$8:$BC$10012,54,0)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6"/>
        <v>105000</v>
      </c>
      <c r="K1393" t="e">
        <f>VLOOKUP(B1393,'REGISTRO ABONOS'!$B$8:$BC$10012,54,0)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6"/>
        <v>105000</v>
      </c>
      <c r="K1394" t="e">
        <f>VLOOKUP(B1394,'REGISTRO ABONOS'!$B$8:$BC$10012,54,0)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6"/>
        <v>105000</v>
      </c>
      <c r="K1395" t="e">
        <f>VLOOKUP(B1395,'REGISTRO ABONOS'!$B$8:$BC$10012,54,0)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J1396">
        <f t="shared" si="26"/>
        <v>105000</v>
      </c>
      <c r="K1396" t="e">
        <f>VLOOKUP(B1396,'REGISTRO ABONOS'!$B$8:$BC$10012,54,0)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J1397">
        <f t="shared" si="26"/>
        <v>105000</v>
      </c>
      <c r="K1397" t="e">
        <f>VLOOKUP(B1397,'REGISTRO ABONOS'!$B$8:$BC$10012,54,0)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J1398">
        <f t="shared" si="26"/>
        <v>105000</v>
      </c>
      <c r="K1398" t="e">
        <f>VLOOKUP(B1398,'REGISTRO ABONOS'!$B$8:$BC$10012,54,0)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6"/>
        <v>105000</v>
      </c>
      <c r="K1399" t="e">
        <f>VLOOKUP(B1399,'REGISTRO ABONOS'!$B$8:$BC$10012,54,0)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6"/>
        <v>105000</v>
      </c>
      <c r="K1400" t="e">
        <f>VLOOKUP(B1400,'REGISTRO ABONOS'!$B$8:$BC$10012,54,0)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J1401">
        <f t="shared" si="26"/>
        <v>105000</v>
      </c>
      <c r="K1401" t="e">
        <f>VLOOKUP(B1401,'REGISTRO ABONOS'!$B$8:$BC$10012,54,0)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6"/>
        <v>105000</v>
      </c>
      <c r="K1402" t="e">
        <f>VLOOKUP(B1402,'REGISTRO ABONOS'!$B$8:$BC$10012,54,0)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6"/>
        <v>105000</v>
      </c>
      <c r="K1403" t="e">
        <f>VLOOKUP(B1403,'REGISTRO ABONOS'!$B$8:$BC$10012,54,0)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6"/>
        <v>105000</v>
      </c>
      <c r="K1404" t="e">
        <f>VLOOKUP(B1404,'REGISTRO ABONOS'!$B$8:$BC$10012,54,0)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6"/>
        <v>105000</v>
      </c>
      <c r="K1405" t="e">
        <f>VLOOKUP(B1405,'REGISTRO ABONOS'!$B$8:$BC$10012,54,0)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6"/>
        <v>105000</v>
      </c>
      <c r="K1406" t="e">
        <f>VLOOKUP(B1406,'REGISTRO ABONOS'!$B$8:$BC$10012,54,0)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6"/>
        <v>105000</v>
      </c>
      <c r="K1407" t="e">
        <f>VLOOKUP(B1407,'REGISTRO ABONOS'!$B$8:$BC$10012,54,0)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6"/>
        <v>105000</v>
      </c>
      <c r="K1408" t="e">
        <f>VLOOKUP(B1408,'REGISTRO ABONOS'!$B$8:$BC$10012,54,0)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6"/>
        <v>105000</v>
      </c>
      <c r="K1409" t="e">
        <f>VLOOKUP(B1409,'REGISTRO ABONOS'!$B$8:$BC$10012,54,0)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J1410">
        <f t="shared" si="26"/>
        <v>105000</v>
      </c>
      <c r="K1410" t="e">
        <f>VLOOKUP(B1410,'REGISTRO ABONOS'!$B$8:$BC$10012,54,0)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J1411">
        <f t="shared" si="26"/>
        <v>105000</v>
      </c>
      <c r="K1411" t="e">
        <f>VLOOKUP(B1411,'REGISTRO ABONOS'!$B$8:$BC$10012,54,0)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6"/>
        <v>105000</v>
      </c>
      <c r="K1412" t="e">
        <f>VLOOKUP(B1412,'REGISTRO ABONOS'!$B$8:$BC$10012,54,0)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6"/>
        <v>105000</v>
      </c>
      <c r="K1413" t="e">
        <f>VLOOKUP(B1413,'REGISTRO ABONOS'!$B$8:$BC$10012,54,0)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6"/>
        <v>105000</v>
      </c>
      <c r="K1414" t="e">
        <f>VLOOKUP(B1414,'REGISTRO ABONOS'!$B$8:$BC$10012,54,0)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6"/>
        <v>105000</v>
      </c>
      <c r="K1415" t="e">
        <f>VLOOKUP(B1415,'REGISTRO ABONOS'!$B$8:$BC$10012,54,0)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6"/>
        <v>105000</v>
      </c>
      <c r="K1416" t="e">
        <f>VLOOKUP(B1416,'REGISTRO ABONOS'!$B$8:$BC$10012,54,0)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6"/>
        <v>105000</v>
      </c>
      <c r="K1417" t="e">
        <f>VLOOKUP(B1417,'REGISTRO ABONOS'!$B$8:$BC$10012,54,0)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6"/>
        <v>105000</v>
      </c>
      <c r="K1418" t="e">
        <f>VLOOKUP(B1418,'REGISTRO ABONOS'!$B$8:$BC$10012,54,0)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6"/>
        <v>105000</v>
      </c>
      <c r="K1419" t="e">
        <f>VLOOKUP(B1419,'REGISTRO ABONOS'!$B$8:$BC$10012,54,0)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J1420">
        <f t="shared" si="26"/>
        <v>105000</v>
      </c>
      <c r="K1420" t="e">
        <f>VLOOKUP(B1420,'REGISTRO ABONOS'!$B$8:$BC$10012,54,0)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6"/>
        <v>105000</v>
      </c>
      <c r="K1421" t="e">
        <f>VLOOKUP(B1421,'REGISTRO ABONOS'!$B$8:$BC$10012,54,0)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6"/>
        <v>105000</v>
      </c>
      <c r="K1422" t="e">
        <f>VLOOKUP(B1422,'REGISTRO ABONOS'!$B$8:$BC$10012,54,0)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J1423">
        <f t="shared" si="26"/>
        <v>105000</v>
      </c>
      <c r="K1423" t="e">
        <f>VLOOKUP(B1423,'REGISTRO ABONOS'!$B$8:$BC$10012,54,0)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J1424">
        <f t="shared" si="26"/>
        <v>105000</v>
      </c>
      <c r="K1424" t="e">
        <f>VLOOKUP(B1424,'REGISTRO ABONOS'!$B$8:$BC$10012,54,0)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J1425">
        <f t="shared" si="26"/>
        <v>105000</v>
      </c>
      <c r="K1425" t="e">
        <f>VLOOKUP(B1425,'REGISTRO ABONOS'!$B$8:$BC$10012,54,0)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J1426">
        <f t="shared" si="26"/>
        <v>105000</v>
      </c>
      <c r="K1426" t="e">
        <f>VLOOKUP(B1426,'REGISTRO ABONOS'!$B$8:$BC$10012,54,0)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6"/>
        <v>105000</v>
      </c>
      <c r="K1427" t="e">
        <f>VLOOKUP(B1427,'REGISTRO ABONOS'!$B$8:$BC$10012,54,0)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J1428">
        <f t="shared" si="26"/>
        <v>105000</v>
      </c>
      <c r="K1428" t="e">
        <f>VLOOKUP(B1428,'REGISTRO ABONOS'!$B$8:$BC$10012,54,0)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J1429">
        <f t="shared" si="26"/>
        <v>105000</v>
      </c>
      <c r="K1429" t="e">
        <f>VLOOKUP(B1429,'REGISTRO ABONOS'!$B$8:$BC$10012,54,0)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ABONOS'!$B$8:$BC$10012,54,0)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7"/>
        <v>105000</v>
      </c>
      <c r="K1431" t="e">
        <f>VLOOKUP(B1431,'REGISTRO ABONOS'!$B$8:$BC$10012,54,0)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7"/>
        <v>105000</v>
      </c>
      <c r="K1432" t="e">
        <f>VLOOKUP(B1432,'REGISTRO ABONOS'!$B$8:$BC$10012,54,0)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J1433">
        <f t="shared" si="27"/>
        <v>105000</v>
      </c>
      <c r="K1433" t="e">
        <f>VLOOKUP(B1433,'REGISTRO ABONOS'!$B$8:$BC$10012,54,0)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J1434">
        <f t="shared" si="27"/>
        <v>105000</v>
      </c>
      <c r="K1434" t="e">
        <f>VLOOKUP(B1434,'REGISTRO ABONOS'!$B$8:$BC$10012,54,0)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J1435">
        <f t="shared" si="27"/>
        <v>105000</v>
      </c>
      <c r="K1435" t="e">
        <f>VLOOKUP(B1435,'REGISTRO ABONOS'!$B$8:$BC$10012,54,0)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7"/>
        <v>105000</v>
      </c>
      <c r="K1436" t="e">
        <f>VLOOKUP(B1436,'REGISTRO ABONOS'!$B$8:$BC$10012,54,0)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J1437">
        <f t="shared" si="27"/>
        <v>105000</v>
      </c>
      <c r="K1437" t="e">
        <f>VLOOKUP(B1437,'REGISTRO ABONOS'!$B$8:$BC$10012,54,0)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J1438">
        <f t="shared" si="27"/>
        <v>105000</v>
      </c>
      <c r="K1438" t="e">
        <f>VLOOKUP(B1438,'REGISTRO ABONOS'!$B$8:$BC$10012,54,0)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J1439">
        <f t="shared" si="27"/>
        <v>105000</v>
      </c>
      <c r="K1439" t="e">
        <f>VLOOKUP(B1439,'REGISTRO ABONOS'!$B$8:$BC$10012,54,0)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J1440">
        <f t="shared" si="27"/>
        <v>105000</v>
      </c>
      <c r="K1440" t="e">
        <f>VLOOKUP(B1440,'REGISTRO ABONOS'!$B$8:$BC$10012,54,0)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7"/>
        <v>105000</v>
      </c>
      <c r="K1441" t="e">
        <f>VLOOKUP(B1441,'REGISTRO ABONOS'!$B$8:$BC$10012,54,0)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7"/>
        <v>105000</v>
      </c>
      <c r="K1442" t="e">
        <f>VLOOKUP(B1442,'REGISTRO ABONOS'!$B$8:$BC$10012,54,0)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7"/>
        <v>105000</v>
      </c>
      <c r="K1443" t="e">
        <f>VLOOKUP(B1443,'REGISTRO ABONOS'!$B$8:$BC$10012,54,0)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J1444">
        <f t="shared" si="27"/>
        <v>105000</v>
      </c>
      <c r="K1444" t="e">
        <f>VLOOKUP(B1444,'REGISTRO ABONOS'!$B$8:$BC$10012,54,0)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7"/>
        <v>105000</v>
      </c>
      <c r="K1445" t="e">
        <f>VLOOKUP(B1445,'REGISTRO ABONOS'!$B$8:$BC$10012,54,0)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J1446">
        <f t="shared" si="27"/>
        <v>105000</v>
      </c>
      <c r="K1446" t="e">
        <f>VLOOKUP(B1446,'REGISTRO ABONOS'!$B$8:$BC$10012,54,0)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7"/>
        <v>105000</v>
      </c>
      <c r="K1447" t="e">
        <f>VLOOKUP(B1447,'REGISTRO ABONOS'!$B$8:$BC$10012,54,0)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J1448">
        <f t="shared" si="27"/>
        <v>105000</v>
      </c>
      <c r="K1448" t="e">
        <f>VLOOKUP(B1448,'REGISTRO ABONOS'!$B$8:$BC$10012,54,0)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7"/>
        <v>105000</v>
      </c>
      <c r="K1449" t="e">
        <f>VLOOKUP(B1449,'REGISTRO ABONOS'!$B$8:$BC$10012,54,0)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7"/>
        <v>105000</v>
      </c>
      <c r="K1450" t="e">
        <f>VLOOKUP(B1450,'REGISTRO ABONOS'!$B$8:$BC$10012,54,0)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7"/>
        <v>105000</v>
      </c>
      <c r="K1451" t="e">
        <f>VLOOKUP(B1451,'REGISTRO ABONOS'!$B$8:$BC$10012,54,0)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7"/>
        <v>105000</v>
      </c>
      <c r="K1452" t="e">
        <f>VLOOKUP(B1452,'REGISTRO ABONOS'!$B$8:$BC$10012,54,0)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7"/>
        <v>105000</v>
      </c>
      <c r="K1453" t="e">
        <f>VLOOKUP(B1453,'REGISTRO ABONOS'!$B$8:$BC$10012,54,0)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7"/>
        <v>105000</v>
      </c>
      <c r="K1454" t="e">
        <f>VLOOKUP(B1454,'REGISTRO ABONOS'!$B$8:$BC$10012,54,0)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7"/>
        <v>105000</v>
      </c>
      <c r="K1455" t="e">
        <f>VLOOKUP(B1455,'REGISTRO ABONOS'!$B$8:$BC$10012,54,0)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J1456">
        <f t="shared" si="27"/>
        <v>105000</v>
      </c>
      <c r="K1456" t="e">
        <f>VLOOKUP(B1456,'REGISTRO ABONOS'!$B$8:$BC$10012,54,0)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J1457">
        <f t="shared" si="27"/>
        <v>105000</v>
      </c>
      <c r="K1457" t="e">
        <f>VLOOKUP(B1457,'REGISTRO ABONOS'!$B$8:$BC$10012,54,0)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J1458">
        <f t="shared" si="27"/>
        <v>105000</v>
      </c>
      <c r="K1458" t="e">
        <f>VLOOKUP(B1458,'REGISTRO ABONOS'!$B$8:$BC$10012,54,0)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J1459">
        <f t="shared" si="27"/>
        <v>105000</v>
      </c>
      <c r="K1459" t="e">
        <f>VLOOKUP(B1459,'REGISTRO ABONOS'!$B$8:$BC$10012,54,0)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J1460">
        <f t="shared" si="27"/>
        <v>105000</v>
      </c>
      <c r="K1460" t="e">
        <f>VLOOKUP(B1460,'REGISTRO ABONOS'!$B$8:$BC$10012,54,0)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7"/>
        <v>105000</v>
      </c>
      <c r="K1461" t="e">
        <f>VLOOKUP(B1461,'REGISTRO ABONOS'!$B$8:$BC$10012,54,0)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7"/>
        <v>105000</v>
      </c>
      <c r="K1462" t="e">
        <f>VLOOKUP(B1462,'REGISTRO ABONOS'!$B$8:$BC$10012,54,0)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7"/>
        <v>105000</v>
      </c>
      <c r="K1463" t="e">
        <f>VLOOKUP(B1463,'REGISTRO ABONOS'!$B$8:$BC$10012,54,0)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7"/>
        <v>105000</v>
      </c>
      <c r="K1464" t="e">
        <f>VLOOKUP(B1464,'REGISTRO ABONOS'!$B$8:$BC$10012,54,0)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7"/>
        <v>105000</v>
      </c>
      <c r="K1465" t="e">
        <f>VLOOKUP(B1465,'REGISTRO ABONOS'!$B$8:$BC$10012,54,0)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J1466">
        <f t="shared" si="27"/>
        <v>105000</v>
      </c>
      <c r="K1466" t="e">
        <f>VLOOKUP(B1466,'REGISTRO ABONOS'!$B$8:$BC$10012,54,0)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J1467">
        <f t="shared" si="27"/>
        <v>105000</v>
      </c>
      <c r="K1467" t="e">
        <f>VLOOKUP(B1467,'REGISTRO ABONOS'!$B$8:$BC$10012,54,0)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J1468">
        <f t="shared" si="27"/>
        <v>105000</v>
      </c>
      <c r="K1468" t="e">
        <f>VLOOKUP(B1468,'REGISTRO ABONOS'!$B$8:$BC$10012,54,0)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7"/>
        <v>105000</v>
      </c>
      <c r="K1469" t="e">
        <f>VLOOKUP(B1469,'REGISTRO ABONOS'!$B$8:$BC$10012,54,0)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7"/>
        <v>105000</v>
      </c>
      <c r="K1470" t="e">
        <f>VLOOKUP(B1470,'REGISTRO ABONOS'!$B$8:$BC$10012,54,0)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J1471">
        <f t="shared" si="27"/>
        <v>105000</v>
      </c>
      <c r="K1471" t="e">
        <f>VLOOKUP(B1471,'REGISTRO ABONOS'!$B$8:$BC$10012,54,0)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7"/>
        <v>105000</v>
      </c>
      <c r="K1472" t="e">
        <f>VLOOKUP(B1472,'REGISTRO ABONOS'!$B$8:$BC$10012,54,0)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7"/>
        <v>105000</v>
      </c>
      <c r="K1473" t="e">
        <f>VLOOKUP(B1473,'REGISTRO ABONOS'!$B$8:$BC$10012,54,0)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7"/>
        <v>105000</v>
      </c>
      <c r="K1474" t="e">
        <f>VLOOKUP(B1474,'REGISTRO ABONOS'!$B$8:$BC$10012,54,0)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7"/>
        <v>105000</v>
      </c>
      <c r="K1475" t="e">
        <f>VLOOKUP(B1475,'REGISTRO ABONOS'!$B$8:$BC$10012,54,0)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J1476">
        <f t="shared" si="27"/>
        <v>105000</v>
      </c>
      <c r="K1476" t="e">
        <f>VLOOKUP(B1476,'REGISTRO ABONOS'!$B$8:$BC$10012,54,0)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J1477">
        <f t="shared" si="27"/>
        <v>105000</v>
      </c>
      <c r="K1477" t="e">
        <f>VLOOKUP(B1477,'REGISTRO ABONOS'!$B$8:$BC$10012,54,0)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7"/>
        <v>105000</v>
      </c>
      <c r="K1478" t="e">
        <f>VLOOKUP(B1478,'REGISTRO ABONOS'!$B$8:$BC$10012,54,0)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J1479">
        <f t="shared" si="27"/>
        <v>105000</v>
      </c>
      <c r="K1479" t="e">
        <f>VLOOKUP(B1479,'REGISTRO ABONOS'!$B$8:$BC$10012,54,0)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7"/>
        <v>105000</v>
      </c>
      <c r="K1480" t="e">
        <f>VLOOKUP(B1480,'REGISTRO ABONOS'!$B$8:$BC$10012,54,0)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7"/>
        <v>105000</v>
      </c>
      <c r="K1481" t="e">
        <f>VLOOKUP(B1481,'REGISTRO ABONOS'!$B$8:$BC$10012,54,0)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7"/>
        <v>105000</v>
      </c>
      <c r="K1482" t="e">
        <f>VLOOKUP(B1482,'REGISTRO ABONOS'!$B$8:$BC$10012,54,0)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J1483">
        <f t="shared" si="27"/>
        <v>105000</v>
      </c>
      <c r="K1483" t="e">
        <f>VLOOKUP(B1483,'REGISTRO ABONOS'!$B$8:$BC$10012,54,0)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J1484">
        <f t="shared" si="27"/>
        <v>105000</v>
      </c>
      <c r="K1484" t="e">
        <f>VLOOKUP(B1484,'REGISTRO ABONOS'!$B$8:$BC$10012,54,0)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7"/>
        <v>105000</v>
      </c>
      <c r="K1485" t="e">
        <f>VLOOKUP(B1485,'REGISTRO ABONOS'!$B$8:$BC$10012,54,0)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7"/>
        <v>105000</v>
      </c>
      <c r="K1486" t="e">
        <f>VLOOKUP(B1486,'REGISTRO ABONOS'!$B$8:$BC$10012,54,0)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J1487">
        <f t="shared" si="27"/>
        <v>105000</v>
      </c>
      <c r="K1487" t="e">
        <f>VLOOKUP(B1487,'REGISTRO ABONOS'!$B$8:$BC$10012,54,0)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J1488">
        <f t="shared" si="27"/>
        <v>105000</v>
      </c>
      <c r="K1488" t="e">
        <f>VLOOKUP(B1488,'REGISTRO ABONOS'!$B$8:$BC$10012,54,0)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7"/>
        <v>105000</v>
      </c>
      <c r="K1489" t="e">
        <f>VLOOKUP(B1489,'REGISTRO ABONOS'!$B$8:$BC$10012,54,0)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7"/>
        <v>105000</v>
      </c>
      <c r="K1490" t="e">
        <f>VLOOKUP(B1490,'REGISTRO ABONOS'!$B$8:$BC$10012,54,0)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7"/>
        <v>105000</v>
      </c>
      <c r="K1491" t="e">
        <f>VLOOKUP(B1491,'REGISTRO ABONOS'!$B$8:$BC$10012,54,0)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J1492">
        <f t="shared" si="27"/>
        <v>105000</v>
      </c>
      <c r="K1492" t="e">
        <f>VLOOKUP(B1492,'REGISTRO ABONOS'!$B$8:$BC$10012,54,0)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7"/>
        <v>105000</v>
      </c>
      <c r="K1493" t="e">
        <f>VLOOKUP(B1493,'REGISTRO ABONOS'!$B$8:$BC$10012,54,0)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ABONOS'!$B$8:$BC$10012,54,0)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8"/>
        <v>105000</v>
      </c>
      <c r="K1495" t="e">
        <f>VLOOKUP(B1495,'REGISTRO ABONOS'!$B$8:$BC$10012,54,0)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8"/>
        <v>105000</v>
      </c>
      <c r="K1496" t="e">
        <f>VLOOKUP(B1496,'REGISTRO ABONOS'!$B$8:$BC$10012,54,0)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8"/>
        <v>105000</v>
      </c>
      <c r="K1497" t="e">
        <f>VLOOKUP(B1497,'REGISTRO ABONOS'!$B$8:$BC$10012,54,0)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8"/>
        <v>105000</v>
      </c>
      <c r="K1498" t="e">
        <f>VLOOKUP(B1498,'REGISTRO ABONOS'!$B$8:$BC$10012,54,0)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J1499">
        <f t="shared" si="28"/>
        <v>105000</v>
      </c>
      <c r="K1499" t="e">
        <f>VLOOKUP(B1499,'REGISTRO ABONOS'!$B$8:$BC$10012,54,0)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8"/>
        <v>105000</v>
      </c>
      <c r="K1500" t="e">
        <f>VLOOKUP(B1500,'REGISTRO ABONOS'!$B$8:$BC$10012,54,0)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8"/>
        <v>105000</v>
      </c>
      <c r="K1501" t="e">
        <f>VLOOKUP(B1501,'REGISTRO ABONOS'!$B$8:$BC$10012,54,0)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8"/>
        <v>105000</v>
      </c>
      <c r="K1502" t="e">
        <f>VLOOKUP(B1502,'REGISTRO ABONOS'!$B$8:$BC$10012,54,0)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8"/>
        <v>105000</v>
      </c>
      <c r="K1503" t="e">
        <f>VLOOKUP(B1503,'REGISTRO ABONOS'!$B$8:$BC$10012,54,0)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8"/>
        <v>105000</v>
      </c>
      <c r="K1504" t="e">
        <f>VLOOKUP(B1504,'REGISTRO ABONOS'!$B$8:$BC$10012,54,0)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8"/>
        <v>105000</v>
      </c>
      <c r="K1505" t="e">
        <f>VLOOKUP(B1505,'REGISTRO ABONOS'!$B$8:$BC$10012,54,0)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8"/>
        <v>105000</v>
      </c>
      <c r="K1506" t="e">
        <f>VLOOKUP(B1506,'REGISTRO ABONOS'!$B$8:$BC$10012,54,0)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J1507">
        <f t="shared" si="28"/>
        <v>105000</v>
      </c>
      <c r="K1507" t="e">
        <f>VLOOKUP(B1507,'REGISTRO ABONOS'!$B$8:$BC$10012,54,0)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8"/>
        <v>105000</v>
      </c>
      <c r="K1508" t="e">
        <f>VLOOKUP(B1508,'REGISTRO ABONOS'!$B$8:$BC$10012,54,0)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J1509">
        <f t="shared" si="28"/>
        <v>105000</v>
      </c>
      <c r="K1509" t="e">
        <f>VLOOKUP(B1509,'REGISTRO ABONOS'!$B$8:$BC$10012,54,0)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8"/>
        <v>105000</v>
      </c>
      <c r="K1510" t="e">
        <f>VLOOKUP(B1510,'REGISTRO ABONOS'!$B$8:$BC$10012,54,0)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8"/>
        <v>105000</v>
      </c>
      <c r="K1511" t="e">
        <f>VLOOKUP(B1511,'REGISTRO ABONOS'!$B$8:$BC$10012,54,0)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8"/>
        <v>105000</v>
      </c>
      <c r="K1512" t="e">
        <f>VLOOKUP(B1512,'REGISTRO ABONOS'!$B$8:$BC$10012,54,0)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8"/>
        <v>105000</v>
      </c>
      <c r="K1513" t="e">
        <f>VLOOKUP(B1513,'REGISTRO ABONOS'!$B$8:$BC$10012,54,0)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8"/>
        <v>105000</v>
      </c>
      <c r="K1514" t="e">
        <f>VLOOKUP(B1514,'REGISTRO ABONOS'!$B$8:$BC$10012,54,0)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8"/>
        <v>105000</v>
      </c>
      <c r="K1515" t="e">
        <f>VLOOKUP(B1515,'REGISTRO ABONOS'!$B$8:$BC$10012,54,0)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8"/>
        <v>105000</v>
      </c>
      <c r="K1516" t="e">
        <f>VLOOKUP(B1516,'REGISTRO ABONOS'!$B$8:$BC$10012,54,0)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J1517">
        <f t="shared" si="28"/>
        <v>105000</v>
      </c>
      <c r="K1517" t="e">
        <f>VLOOKUP(B1517,'REGISTRO ABONOS'!$B$8:$BC$10012,54,0)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8"/>
        <v>105000</v>
      </c>
      <c r="K1518" t="e">
        <f>VLOOKUP(B1518,'REGISTRO ABONOS'!$B$8:$BC$10012,54,0)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8"/>
        <v>105000</v>
      </c>
      <c r="K1519" t="e">
        <f>VLOOKUP(B1519,'REGISTRO ABONOS'!$B$8:$BC$10012,54,0)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8"/>
        <v>105000</v>
      </c>
      <c r="K1520" t="e">
        <f>VLOOKUP(B1520,'REGISTRO ABONOS'!$B$8:$BC$10012,54,0)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J1521">
        <f t="shared" si="28"/>
        <v>105000</v>
      </c>
      <c r="K1521" t="e">
        <f>VLOOKUP(B1521,'REGISTRO ABONOS'!$B$8:$BC$10012,54,0)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J1522">
        <f t="shared" si="28"/>
        <v>105000</v>
      </c>
      <c r="K1522" t="e">
        <f>VLOOKUP(B1522,'REGISTRO ABONOS'!$B$8:$BC$10012,54,0)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8"/>
        <v>105000</v>
      </c>
      <c r="K1523" t="e">
        <f>VLOOKUP(B1523,'REGISTRO ABONOS'!$B$8:$BC$10012,54,0)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8"/>
        <v>105000</v>
      </c>
      <c r="K1524" t="e">
        <f>VLOOKUP(B1524,'REGISTRO ABONOS'!$B$8:$BC$10012,54,0)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8"/>
        <v>105000</v>
      </c>
      <c r="K1525" t="e">
        <f>VLOOKUP(B1525,'REGISTRO ABONOS'!$B$8:$BC$10012,54,0)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8"/>
        <v>105000</v>
      </c>
      <c r="K1526" t="e">
        <f>VLOOKUP(B1526,'REGISTRO ABONOS'!$B$8:$BC$10012,54,0)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8"/>
        <v>105000</v>
      </c>
      <c r="K1527" t="e">
        <f>VLOOKUP(B1527,'REGISTRO ABONOS'!$B$8:$BC$10012,54,0)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8"/>
        <v>105000</v>
      </c>
      <c r="K1528" t="e">
        <f>VLOOKUP(B1528,'REGISTRO ABONOS'!$B$8:$BC$10012,54,0)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J1529">
        <f t="shared" si="28"/>
        <v>105000</v>
      </c>
      <c r="K1529" t="e">
        <f>VLOOKUP(B1529,'REGISTRO ABONOS'!$B$8:$BC$10012,54,0)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J1530">
        <f t="shared" si="28"/>
        <v>105000</v>
      </c>
      <c r="K1530" t="e">
        <f>VLOOKUP(B1530,'REGISTRO ABONOS'!$B$8:$BC$10012,54,0)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8"/>
        <v>105000</v>
      </c>
      <c r="K1531" t="e">
        <f>VLOOKUP(B1531,'REGISTRO ABONOS'!$B$8:$BC$10012,54,0)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ABONOS'!$B$8:$BC$10012,54,0)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J1533">
        <f t="shared" si="29"/>
        <v>105000</v>
      </c>
      <c r="K1533" t="e">
        <f>VLOOKUP(B1533,'REGISTRO ABONOS'!$B$8:$BC$10012,54,0)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9"/>
        <v>105000</v>
      </c>
      <c r="K1534" t="e">
        <f>VLOOKUP(B1534,'REGISTRO ABONOS'!$B$8:$BC$10012,54,0)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9"/>
        <v>105000</v>
      </c>
      <c r="K1535" t="e">
        <f>VLOOKUP(B1535,'REGISTRO ABONOS'!$B$8:$BC$10012,54,0)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J1536">
        <f t="shared" si="29"/>
        <v>105000</v>
      </c>
      <c r="K1536" t="e">
        <f>VLOOKUP(B1536,'REGISTRO ABONOS'!$B$8:$BC$10012,54,0)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9"/>
        <v>105000</v>
      </c>
      <c r="K1537" t="e">
        <f>VLOOKUP(B1537,'REGISTRO ABONOS'!$B$8:$BC$10012,54,0)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J1538">
        <f t="shared" si="29"/>
        <v>105000</v>
      </c>
      <c r="K1538" t="e">
        <f>VLOOKUP(B1538,'REGISTRO ABONOS'!$B$8:$BC$10012,54,0)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9"/>
        <v>105000</v>
      </c>
      <c r="K1539" t="e">
        <f>VLOOKUP(B1539,'REGISTRO ABONOS'!$B$8:$BC$10012,54,0)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9"/>
        <v>105000</v>
      </c>
      <c r="K1540" t="e">
        <f>VLOOKUP(B1540,'REGISTRO ABONOS'!$B$8:$BC$10012,54,0)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J1541">
        <f t="shared" si="29"/>
        <v>105000</v>
      </c>
      <c r="K1541" t="e">
        <f>VLOOKUP(B1541,'REGISTRO ABONOS'!$B$8:$BC$10012,54,0)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9"/>
        <v>105000</v>
      </c>
      <c r="K1542" t="e">
        <f>VLOOKUP(B1542,'REGISTRO ABONOS'!$B$8:$BC$10012,54,0)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J1543">
        <f t="shared" si="29"/>
        <v>105000</v>
      </c>
      <c r="K1543" t="e">
        <f>VLOOKUP(B1543,'REGISTRO ABONOS'!$B$8:$BC$10012,54,0)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J1544">
        <f t="shared" si="29"/>
        <v>105000</v>
      </c>
      <c r="K1544" t="e">
        <f>VLOOKUP(B1544,'REGISTRO ABONOS'!$B$8:$BC$10012,54,0)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J1545">
        <f t="shared" si="29"/>
        <v>105000</v>
      </c>
      <c r="K1545" t="e">
        <f>VLOOKUP(B1545,'REGISTRO ABONOS'!$B$8:$BC$10012,54,0)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J1546">
        <f t="shared" si="29"/>
        <v>105000</v>
      </c>
      <c r="K1546" t="e">
        <f>VLOOKUP(B1546,'REGISTRO ABONOS'!$B$8:$BC$10012,54,0)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9"/>
        <v>105000</v>
      </c>
      <c r="K1547" t="e">
        <f>VLOOKUP(B1547,'REGISTRO ABONOS'!$B$8:$BC$10012,54,0)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J1548">
        <f t="shared" si="29"/>
        <v>105000</v>
      </c>
      <c r="K1548" t="e">
        <f>VLOOKUP(B1548,'REGISTRO ABONOS'!$B$8:$BC$10012,54,0)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J1549">
        <f t="shared" si="29"/>
        <v>105000</v>
      </c>
      <c r="K1549" t="e">
        <f>VLOOKUP(B1549,'REGISTRO ABONOS'!$B$8:$BC$10012,54,0)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9"/>
        <v>105000</v>
      </c>
      <c r="K1550" t="e">
        <f>VLOOKUP(B1550,'REGISTRO ABONOS'!$B$8:$BC$10012,54,0)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J1551">
        <f t="shared" si="29"/>
        <v>105000</v>
      </c>
      <c r="K1551" t="e">
        <f>VLOOKUP(B1551,'REGISTRO ABONOS'!$B$8:$BC$10012,54,0)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J1552">
        <f t="shared" si="29"/>
        <v>105000</v>
      </c>
      <c r="K1552" t="e">
        <f>VLOOKUP(B1552,'REGISTRO ABONOS'!$B$8:$BC$10012,54,0)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9"/>
        <v>105000</v>
      </c>
      <c r="K1553" t="e">
        <f>VLOOKUP(B1553,'REGISTRO ABONOS'!$B$8:$BC$10012,54,0)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9"/>
        <v>105000</v>
      </c>
      <c r="K1554" t="e">
        <f>VLOOKUP(B1554,'REGISTRO ABONOS'!$B$8:$BC$10012,54,0)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9"/>
        <v>105000</v>
      </c>
      <c r="K1555" t="e">
        <f>VLOOKUP(B1555,'REGISTRO ABONOS'!$B$8:$BC$10012,54,0)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9"/>
        <v>105000</v>
      </c>
      <c r="K1556" t="e">
        <f>VLOOKUP(B1556,'REGISTRO ABONOS'!$B$8:$BC$10012,54,0)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J1557">
        <f t="shared" si="29"/>
        <v>105000</v>
      </c>
      <c r="K1557" t="e">
        <f>VLOOKUP(B1557,'REGISTRO ABONOS'!$B$8:$BC$10012,54,0)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J1558">
        <f t="shared" si="29"/>
        <v>105000</v>
      </c>
      <c r="K1558" t="e">
        <f>VLOOKUP(B1558,'REGISTRO ABONOS'!$B$8:$BC$10012,54,0)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9"/>
        <v>105000</v>
      </c>
      <c r="K1559" t="e">
        <f>VLOOKUP(B1559,'REGISTRO ABONOS'!$B$8:$BC$10012,54,0)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9"/>
        <v>105000</v>
      </c>
      <c r="K1560" t="e">
        <f>VLOOKUP(B1560,'REGISTRO ABONOS'!$B$8:$BC$10012,54,0)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9"/>
        <v>105000</v>
      </c>
      <c r="K1561" t="e">
        <f>VLOOKUP(B1561,'REGISTRO ABONOS'!$B$8:$BC$10012,54,0)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J1562">
        <f t="shared" si="29"/>
        <v>105000</v>
      </c>
      <c r="K1562" t="e">
        <f>VLOOKUP(B1562,'REGISTRO ABONOS'!$B$8:$BC$10012,54,0)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9"/>
        <v>105000</v>
      </c>
      <c r="K1563" t="e">
        <f>VLOOKUP(B1563,'REGISTRO ABONOS'!$B$8:$BC$10012,54,0)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9"/>
        <v>105000</v>
      </c>
      <c r="K1564" t="e">
        <f>VLOOKUP(B1564,'REGISTRO ABONOS'!$B$8:$BC$10012,54,0)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9"/>
        <v>105000</v>
      </c>
      <c r="K1565" t="e">
        <f>VLOOKUP(B1565,'REGISTRO ABONOS'!$B$8:$BC$10012,54,0)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9"/>
        <v>105000</v>
      </c>
      <c r="K1566" t="e">
        <f>VLOOKUP(B1566,'REGISTRO ABONOS'!$B$8:$BC$10012,54,0)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9"/>
        <v>105000</v>
      </c>
      <c r="K1567" t="e">
        <f>VLOOKUP(B1567,'REGISTRO ABONOS'!$B$8:$BC$10012,54,0)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9"/>
        <v>105000</v>
      </c>
      <c r="K1568" t="e">
        <f>VLOOKUP(B1568,'REGISTRO ABONOS'!$B$8:$BC$10012,54,0)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9"/>
        <v>105000</v>
      </c>
      <c r="K1569" t="e">
        <f>VLOOKUP(B1569,'REGISTRO ABONOS'!$B$8:$BC$10012,54,0)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9"/>
        <v>105000</v>
      </c>
      <c r="K1570" t="e">
        <f>VLOOKUP(B1570,'REGISTRO ABONOS'!$B$8:$BC$10012,54,0)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9"/>
        <v>105000</v>
      </c>
      <c r="K1571" t="e">
        <f>VLOOKUP(B1571,'REGISTRO ABONOS'!$B$8:$BC$10012,54,0)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9"/>
        <v>105000</v>
      </c>
      <c r="K1572" t="e">
        <f>VLOOKUP(B1572,'REGISTRO ABONOS'!$B$8:$BC$10012,54,0)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9"/>
        <v>105000</v>
      </c>
      <c r="K1573" t="e">
        <f>VLOOKUP(B1573,'REGISTRO ABONOS'!$B$8:$BC$10012,54,0)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J1574">
        <f t="shared" si="29"/>
        <v>105000</v>
      </c>
      <c r="K1574" t="e">
        <f>VLOOKUP(B1574,'REGISTRO ABONOS'!$B$8:$BC$10012,54,0)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9"/>
        <v>105000</v>
      </c>
      <c r="K1575" t="e">
        <f>VLOOKUP(B1575,'REGISTRO ABONOS'!$B$8:$BC$10012,54,0)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9"/>
        <v>105000</v>
      </c>
      <c r="K1576" t="e">
        <f>VLOOKUP(B1576,'REGISTRO ABONOS'!$B$8:$BC$10012,54,0)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9"/>
        <v>105000</v>
      </c>
      <c r="K1577" t="e">
        <f>VLOOKUP(B1577,'REGISTRO ABONOS'!$B$8:$BC$10012,54,0)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9"/>
        <v>105000</v>
      </c>
      <c r="K1578" t="e">
        <f>VLOOKUP(B1578,'REGISTRO ABONOS'!$B$8:$BC$10012,54,0)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9"/>
        <v>105000</v>
      </c>
      <c r="K1579" t="e">
        <f>VLOOKUP(B1579,'REGISTRO ABONOS'!$B$8:$BC$10012,54,0)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9"/>
        <v>105000</v>
      </c>
      <c r="K1580" t="e">
        <f>VLOOKUP(B1580,'REGISTRO ABONOS'!$B$8:$BC$10012,54,0)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9"/>
        <v>105000</v>
      </c>
      <c r="K1581" t="e">
        <f>VLOOKUP(B1581,'REGISTRO ABONOS'!$B$8:$BC$10012,54,0)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9"/>
        <v>105000</v>
      </c>
      <c r="K1582" t="e">
        <f>VLOOKUP(B1582,'REGISTRO ABONOS'!$B$8:$BC$10012,54,0)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J1583">
        <f t="shared" si="29"/>
        <v>105000</v>
      </c>
      <c r="K1583" t="e">
        <f>VLOOKUP(B1583,'REGISTRO ABONOS'!$B$8:$BC$10012,54,0)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9"/>
        <v>105000</v>
      </c>
      <c r="K1584" t="e">
        <f>VLOOKUP(B1584,'REGISTRO ABONOS'!$B$8:$BC$10012,54,0)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J1585">
        <f t="shared" si="29"/>
        <v>105000</v>
      </c>
      <c r="K1585" t="e">
        <f>VLOOKUP(B1585,'REGISTRO ABONOS'!$B$8:$BC$10012,54,0)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9"/>
        <v>105000</v>
      </c>
      <c r="K1586" t="e">
        <f>VLOOKUP(B1586,'REGISTRO ABONOS'!$B$8:$BC$10012,54,0)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9"/>
        <v>105000</v>
      </c>
      <c r="K1587" t="e">
        <f>VLOOKUP(B1587,'REGISTRO ABONOS'!$B$8:$BC$10012,54,0)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9"/>
        <v>105000</v>
      </c>
      <c r="K1588" t="e">
        <f>VLOOKUP(B1588,'REGISTRO ABONOS'!$B$8:$BC$10012,54,0)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9"/>
        <v>105000</v>
      </c>
      <c r="K1589" t="e">
        <f>VLOOKUP(B1589,'REGISTRO ABONOS'!$B$8:$BC$10012,54,0)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9"/>
        <v>105000</v>
      </c>
      <c r="K1590" t="e">
        <f>VLOOKUP(B1590,'REGISTRO ABONOS'!$B$8:$BC$10012,54,0)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9"/>
        <v>105000</v>
      </c>
      <c r="K1591" t="e">
        <f>VLOOKUP(B1591,'REGISTRO ABONOS'!$B$8:$BC$10012,54,0)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9"/>
        <v>105000</v>
      </c>
      <c r="K1592" t="e">
        <f>VLOOKUP(B1592,'REGISTRO ABONOS'!$B$8:$BC$10012,54,0)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9"/>
        <v>105000</v>
      </c>
      <c r="K1593" t="e">
        <f>VLOOKUP(B1593,'REGISTRO ABONOS'!$B$8:$BC$10012,54,0)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9"/>
        <v>105000</v>
      </c>
      <c r="K1594" t="e">
        <f>VLOOKUP(B1594,'REGISTRO ABONOS'!$B$8:$BC$10012,54,0)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J1595">
        <f t="shared" si="29"/>
        <v>105000</v>
      </c>
      <c r="K1595" t="e">
        <f>VLOOKUP(B1595,'REGISTRO ABONOS'!$B$8:$BC$10012,54,0)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ABONOS'!$B$8:$BC$10012,54,0)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30"/>
        <v>105000</v>
      </c>
      <c r="K1597" t="e">
        <f>VLOOKUP(B1597,'REGISTRO ABONOS'!$B$8:$BC$10012,54,0)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30"/>
        <v>105000</v>
      </c>
      <c r="K1598" t="e">
        <f>VLOOKUP(B1598,'REGISTRO ABONOS'!$B$8:$BC$10012,54,0)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30"/>
        <v>105000</v>
      </c>
      <c r="K1599" t="e">
        <f>VLOOKUP(B1599,'REGISTRO ABONOS'!$B$8:$BC$10012,54,0)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J1600">
        <f t="shared" si="30"/>
        <v>105000</v>
      </c>
      <c r="K1600" t="e">
        <f>VLOOKUP(B1600,'REGISTRO ABONOS'!$B$8:$BC$10012,54,0)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J1601">
        <f t="shared" si="30"/>
        <v>105000</v>
      </c>
      <c r="K1601" t="e">
        <f>VLOOKUP(B1601,'REGISTRO ABONOS'!$B$8:$BC$10012,54,0)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J1602">
        <f t="shared" si="30"/>
        <v>105000</v>
      </c>
      <c r="K1602" t="e">
        <f>VLOOKUP(B1602,'REGISTRO ABONOS'!$B$8:$BC$10012,54,0)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J1603">
        <f t="shared" si="30"/>
        <v>105000</v>
      </c>
      <c r="K1603" t="e">
        <f>VLOOKUP(B1603,'REGISTRO ABONOS'!$B$8:$BC$10012,54,0)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30"/>
        <v>105000</v>
      </c>
      <c r="K1604" t="e">
        <f>VLOOKUP(B1604,'REGISTRO ABONOS'!$B$8:$BC$10012,54,0)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30"/>
        <v>105000</v>
      </c>
      <c r="K1605" t="e">
        <f>VLOOKUP(B1605,'REGISTRO ABONOS'!$B$8:$BC$10012,54,0)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J1606">
        <f t="shared" si="30"/>
        <v>105000</v>
      </c>
      <c r="K1606" t="e">
        <f>VLOOKUP(B1606,'REGISTRO ABONOS'!$B$8:$BC$10012,54,0)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J1607">
        <f t="shared" si="30"/>
        <v>105000</v>
      </c>
      <c r="K1607" t="e">
        <f>VLOOKUP(B1607,'REGISTRO ABONOS'!$B$8:$BC$10012,54,0)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30"/>
        <v>105000</v>
      </c>
      <c r="K1608" t="e">
        <f>VLOOKUP(B1608,'REGISTRO ABONOS'!$B$8:$BC$10012,54,0)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30"/>
        <v>105000</v>
      </c>
      <c r="K1609" t="e">
        <f>VLOOKUP(B1609,'REGISTRO ABONOS'!$B$8:$BC$10012,54,0)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J1610">
        <f t="shared" si="30"/>
        <v>105000</v>
      </c>
      <c r="K1610" t="e">
        <f>VLOOKUP(B1610,'REGISTRO ABONOS'!$B$8:$BC$10012,54,0)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J1611">
        <f t="shared" si="30"/>
        <v>105000</v>
      </c>
      <c r="K1611" t="e">
        <f>VLOOKUP(B1611,'REGISTRO ABONOS'!$B$8:$BC$10012,54,0)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30"/>
        <v>105000</v>
      </c>
      <c r="K1612" t="e">
        <f>VLOOKUP(B1612,'REGISTRO ABONOS'!$B$8:$BC$10012,54,0)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30"/>
        <v>105000</v>
      </c>
      <c r="K1613" t="e">
        <f>VLOOKUP(B1613,'REGISTRO ABONOS'!$B$8:$BC$10012,54,0)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J1614">
        <f t="shared" si="30"/>
        <v>105000</v>
      </c>
      <c r="K1614" t="e">
        <f>VLOOKUP(B1614,'REGISTRO ABONOS'!$B$8:$BC$10012,54,0)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30"/>
        <v>105000</v>
      </c>
      <c r="K1615" t="e">
        <f>VLOOKUP(B1615,'REGISTRO ABONOS'!$B$8:$BC$10012,54,0)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J1616">
        <f t="shared" si="30"/>
        <v>105000</v>
      </c>
      <c r="K1616" t="e">
        <f>VLOOKUP(B1616,'REGISTRO ABONOS'!$B$8:$BC$10012,54,0)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J1617">
        <f t="shared" si="30"/>
        <v>105000</v>
      </c>
      <c r="K1617" t="e">
        <f>VLOOKUP(B1617,'REGISTRO ABONOS'!$B$8:$BC$10012,54,0)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J1618">
        <f t="shared" si="30"/>
        <v>105000</v>
      </c>
      <c r="K1618" t="e">
        <f>VLOOKUP(B1618,'REGISTRO ABONOS'!$B$8:$BC$10012,54,0)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J1619">
        <f t="shared" si="30"/>
        <v>105000</v>
      </c>
      <c r="K1619" t="e">
        <f>VLOOKUP(B1619,'REGISTRO ABONOS'!$B$8:$BC$10012,54,0)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J1620">
        <f t="shared" si="30"/>
        <v>105000</v>
      </c>
      <c r="K1620" t="e">
        <f>VLOOKUP(B1620,'REGISTRO ABONOS'!$B$8:$BC$10012,54,0)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J1621">
        <f t="shared" si="30"/>
        <v>105000</v>
      </c>
      <c r="K1621" t="e">
        <f>VLOOKUP(B1621,'REGISTRO ABONOS'!$B$8:$BC$10012,54,0)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30"/>
        <v>105000</v>
      </c>
      <c r="K1622" t="e">
        <f>VLOOKUP(B1622,'REGISTRO ABONOS'!$B$8:$BC$10012,54,0)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30"/>
        <v>105000</v>
      </c>
      <c r="K1623" t="e">
        <f>VLOOKUP(B1623,'REGISTRO ABONOS'!$B$8:$BC$10012,54,0)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J1624">
        <f t="shared" si="30"/>
        <v>105000</v>
      </c>
      <c r="K1624" t="e">
        <f>VLOOKUP(B1624,'REGISTRO ABONOS'!$B$8:$BC$10012,54,0)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J1625">
        <f t="shared" si="30"/>
        <v>105000</v>
      </c>
      <c r="K1625" t="e">
        <f>VLOOKUP(B1625,'REGISTRO ABONOS'!$B$8:$BC$10012,54,0)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30"/>
        <v>105000</v>
      </c>
      <c r="K1626" t="e">
        <f>VLOOKUP(B1626,'REGISTRO ABONOS'!$B$8:$BC$10012,54,0)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30"/>
        <v>105000</v>
      </c>
      <c r="K1627" t="e">
        <f>VLOOKUP(B1627,'REGISTRO ABONOS'!$B$8:$BC$10012,54,0)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J1628">
        <f t="shared" si="30"/>
        <v>105000</v>
      </c>
      <c r="K1628" t="e">
        <f>VLOOKUP(B1628,'REGISTRO ABONOS'!$B$8:$BC$10012,54,0)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J1629">
        <f t="shared" si="30"/>
        <v>105000</v>
      </c>
      <c r="K1629" t="e">
        <f>VLOOKUP(B1629,'REGISTRO ABONOS'!$B$8:$BC$10012,54,0)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30"/>
        <v>105000</v>
      </c>
      <c r="K1630" t="e">
        <f>VLOOKUP(B1630,'REGISTRO ABONOS'!$B$8:$BC$10012,54,0)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30"/>
        <v>105000</v>
      </c>
      <c r="K1631" t="e">
        <f>VLOOKUP(B1631,'REGISTRO ABONOS'!$B$8:$BC$10012,54,0)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J1632">
        <f t="shared" si="30"/>
        <v>105000</v>
      </c>
      <c r="K1632" t="e">
        <f>VLOOKUP(B1632,'REGISTRO ABONOS'!$B$8:$BC$10012,54,0)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30"/>
        <v>105000</v>
      </c>
      <c r="K1633" t="e">
        <f>VLOOKUP(B1633,'REGISTRO ABONOS'!$B$8:$BC$10012,54,0)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J1634">
        <f t="shared" si="30"/>
        <v>105000</v>
      </c>
      <c r="K1634" t="e">
        <f>VLOOKUP(B1634,'REGISTRO ABONOS'!$B$8:$BC$10012,54,0)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J1635">
        <f t="shared" si="30"/>
        <v>105000</v>
      </c>
      <c r="K1635" t="e">
        <f>VLOOKUP(B1635,'REGISTRO ABONOS'!$B$8:$BC$10012,54,0)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30"/>
        <v>105000</v>
      </c>
      <c r="K1636" t="e">
        <f>VLOOKUP(B1636,'REGISTRO ABONOS'!$B$8:$BC$10012,54,0)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30"/>
        <v>105000</v>
      </c>
      <c r="K1637" t="e">
        <f>VLOOKUP(B1637,'REGISTRO ABONOS'!$B$8:$BC$10012,54,0)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30"/>
        <v>105000</v>
      </c>
      <c r="K1638" t="e">
        <f>VLOOKUP(B1638,'REGISTRO ABONOS'!$B$8:$BC$10012,54,0)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30"/>
        <v>105000</v>
      </c>
      <c r="K1639" t="e">
        <f>VLOOKUP(B1639,'REGISTRO ABONOS'!$B$8:$BC$10012,54,0)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J1640">
        <f t="shared" si="30"/>
        <v>105000</v>
      </c>
      <c r="K1640" t="e">
        <f>VLOOKUP(B1640,'REGISTRO ABONOS'!$B$8:$BC$10012,54,0)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J1641">
        <f t="shared" si="30"/>
        <v>105000</v>
      </c>
      <c r="K1641" t="e">
        <f>VLOOKUP(B1641,'REGISTRO ABONOS'!$B$8:$BC$10012,54,0)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J1642">
        <f t="shared" si="30"/>
        <v>105000</v>
      </c>
      <c r="K1642" t="e">
        <f>VLOOKUP(B1642,'REGISTRO ABONOS'!$B$8:$BC$10012,54,0)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30"/>
        <v>105000</v>
      </c>
      <c r="K1643" t="e">
        <f>VLOOKUP(B1643,'REGISTRO ABONOS'!$B$8:$BC$10012,54,0)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J1644">
        <f t="shared" si="30"/>
        <v>105000</v>
      </c>
      <c r="K1644" t="e">
        <f>VLOOKUP(B1644,'REGISTRO ABONOS'!$B$8:$BC$10012,54,0)</f>
        <v>#N/A</v>
      </c>
      <c r="L1644" t="e">
        <f>IF(Tabla26[[#This Row],[VALOR RESTANTE]]&lt;Tabla26[[#This Row],[VALOR]],"NO DISPONIBLE","DISPONIBLE")</f>
        <v>#N/A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30"/>
        <v>105000</v>
      </c>
      <c r="K1645" t="e">
        <f>VLOOKUP(B1645,'REGISTRO ABONOS'!$B$8:$BC$10012,54,0)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30"/>
        <v>105000</v>
      </c>
      <c r="K1646" t="e">
        <f>VLOOKUP(B1646,'REGISTRO ABONOS'!$B$8:$BC$10012,54,0)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30"/>
        <v>105000</v>
      </c>
      <c r="K1647" t="e">
        <f>VLOOKUP(B1647,'REGISTRO ABONOS'!$B$8:$BC$10012,54,0)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30"/>
        <v>105000</v>
      </c>
      <c r="K1648" t="e">
        <f>VLOOKUP(B1648,'REGISTRO ABONOS'!$B$8:$BC$10012,54,0)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30"/>
        <v>105000</v>
      </c>
      <c r="K1649" t="e">
        <f>VLOOKUP(B1649,'REGISTRO ABONOS'!$B$8:$BC$10012,54,0)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J1650">
        <f t="shared" si="30"/>
        <v>105000</v>
      </c>
      <c r="K1650" t="e">
        <f>VLOOKUP(B1650,'REGISTRO ABONOS'!$B$8:$BC$10012,54,0)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J1651">
        <f t="shared" si="30"/>
        <v>105000</v>
      </c>
      <c r="K1651" t="e">
        <f>VLOOKUP(B1651,'REGISTRO ABONOS'!$B$8:$BC$10012,54,0)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J1652">
        <f t="shared" si="30"/>
        <v>105000</v>
      </c>
      <c r="K1652" t="e">
        <f>VLOOKUP(B1652,'REGISTRO ABONOS'!$B$8:$BC$10012,54,0)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J1653">
        <f t="shared" si="30"/>
        <v>105000</v>
      </c>
      <c r="K1653" t="e">
        <f>VLOOKUP(B1653,'REGISTRO ABONOS'!$B$8:$BC$10012,54,0)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30"/>
        <v>105000</v>
      </c>
      <c r="K1654" t="e">
        <f>VLOOKUP(B1654,'REGISTRO ABONOS'!$B$8:$BC$10012,54,0)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30"/>
        <v>105000</v>
      </c>
      <c r="K1655" t="e">
        <f>VLOOKUP(B1655,'REGISTRO ABONOS'!$B$8:$BC$10012,54,0)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30"/>
        <v>105000</v>
      </c>
      <c r="K1656" t="e">
        <f>VLOOKUP(B1656,'REGISTRO ABONOS'!$B$8:$BC$10012,54,0)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30"/>
        <v>105000</v>
      </c>
      <c r="K1657" t="e">
        <f>VLOOKUP(B1657,'REGISTRO ABONOS'!$B$8:$BC$10012,54,0)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30"/>
        <v>105000</v>
      </c>
      <c r="K1658" t="e">
        <f>VLOOKUP(B1658,'REGISTRO ABONOS'!$B$8:$BC$10012,54,0)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30"/>
        <v>105000</v>
      </c>
      <c r="K1659" t="e">
        <f>VLOOKUP(B1659,'REGISTRO ABONOS'!$B$8:$BC$10012,54,0)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ABONOS'!$B$8:$BC$10012,54,0)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1"/>
        <v>105000</v>
      </c>
      <c r="K1661" t="e">
        <f>VLOOKUP(B1661,'REGISTRO ABONOS'!$B$8:$BC$10012,54,0)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1"/>
        <v>105000</v>
      </c>
      <c r="K1662" t="e">
        <f>VLOOKUP(B1662,'REGISTRO ABONOS'!$B$8:$BC$10012,54,0)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1"/>
        <v>105000</v>
      </c>
      <c r="K1663" t="e">
        <f>VLOOKUP(B1663,'REGISTRO ABONOS'!$B$8:$BC$10012,54,0)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1"/>
        <v>105000</v>
      </c>
      <c r="K1664" t="e">
        <f>VLOOKUP(B1664,'REGISTRO ABONOS'!$B$8:$BC$10012,54,0)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1"/>
        <v>105000</v>
      </c>
      <c r="K1665" t="e">
        <f>VLOOKUP(B1665,'REGISTRO ABONOS'!$B$8:$BC$10012,54,0)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1"/>
        <v>105000</v>
      </c>
      <c r="K1666" t="e">
        <f>VLOOKUP(B1666,'REGISTRO ABONOS'!$B$8:$BC$10012,54,0)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1"/>
        <v>105000</v>
      </c>
      <c r="K1667" t="e">
        <f>VLOOKUP(B1667,'REGISTRO ABONOS'!$B$8:$BC$10012,54,0)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1"/>
        <v>105000</v>
      </c>
      <c r="K1668" t="e">
        <f>VLOOKUP(B1668,'REGISTRO ABONOS'!$B$8:$BC$10012,54,0)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1"/>
        <v>105000</v>
      </c>
      <c r="K1669" t="e">
        <f>VLOOKUP(B1669,'REGISTRO ABONOS'!$B$8:$BC$10012,54,0)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1"/>
        <v>105000</v>
      </c>
      <c r="K1670" t="e">
        <f>VLOOKUP(B1670,'REGISTRO ABONOS'!$B$8:$BC$10012,54,0)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1"/>
        <v>105000</v>
      </c>
      <c r="K1671" t="e">
        <f>VLOOKUP(B1671,'REGISTRO ABONOS'!$B$8:$BC$10012,54,0)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1"/>
        <v>105000</v>
      </c>
      <c r="K1672" t="e">
        <f>VLOOKUP(B1672,'REGISTRO ABONOS'!$B$8:$BC$10012,54,0)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1"/>
        <v>105000</v>
      </c>
      <c r="K1673" t="e">
        <f>VLOOKUP(B1673,'REGISTRO ABONOS'!$B$8:$BC$10012,54,0)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J1674">
        <f t="shared" si="31"/>
        <v>105000</v>
      </c>
      <c r="K1674" t="e">
        <f>VLOOKUP(B1674,'REGISTRO ABONOS'!$B$8:$BC$10012,54,0)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1"/>
        <v>105000</v>
      </c>
      <c r="K1675" t="e">
        <f>VLOOKUP(B1675,'REGISTRO ABONOS'!$B$8:$BC$10012,54,0)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J1676">
        <f t="shared" si="31"/>
        <v>105000</v>
      </c>
      <c r="K1676" t="e">
        <f>VLOOKUP(B1676,'REGISTRO ABONOS'!$B$8:$BC$10012,54,0)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1"/>
        <v>105000</v>
      </c>
      <c r="K1677" t="e">
        <f>VLOOKUP(B1677,'REGISTRO ABONOS'!$B$8:$BC$10012,54,0)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1"/>
        <v>105000</v>
      </c>
      <c r="K1678" t="e">
        <f>VLOOKUP(B1678,'REGISTRO ABONOS'!$B$8:$BC$10012,54,0)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1"/>
        <v>105000</v>
      </c>
      <c r="K1679" t="e">
        <f>VLOOKUP(B1679,'REGISTRO ABONOS'!$B$8:$BC$10012,54,0)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J1680">
        <f t="shared" si="31"/>
        <v>105000</v>
      </c>
      <c r="K1680" t="e">
        <f>VLOOKUP(B1680,'REGISTRO ABONOS'!$B$8:$BC$10012,54,0)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J1681">
        <f t="shared" si="31"/>
        <v>105000</v>
      </c>
      <c r="K1681" t="e">
        <f>VLOOKUP(B1681,'REGISTRO ABONOS'!$B$8:$BC$10012,54,0)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1"/>
        <v>105000</v>
      </c>
      <c r="K1682" t="e">
        <f>VLOOKUP(B1682,'REGISTRO ABONOS'!$B$8:$BC$10012,54,0)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J1683">
        <f t="shared" si="31"/>
        <v>105000</v>
      </c>
      <c r="K1683" t="e">
        <f>VLOOKUP(B1683,'REGISTRO ABONOS'!$B$8:$BC$10012,54,0)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1"/>
        <v>105000</v>
      </c>
      <c r="K1684" t="e">
        <f>VLOOKUP(B1684,'REGISTRO ABONOS'!$B$8:$BC$10012,54,0)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1"/>
        <v>105000</v>
      </c>
      <c r="K1685" t="e">
        <f>VLOOKUP(B1685,'REGISTRO ABONOS'!$B$8:$BC$10012,54,0)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1"/>
        <v>105000</v>
      </c>
      <c r="K1686" t="e">
        <f>VLOOKUP(B1686,'REGISTRO ABONOS'!$B$8:$BC$10012,54,0)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J1687">
        <f t="shared" si="31"/>
        <v>105000</v>
      </c>
      <c r="K1687" t="e">
        <f>VLOOKUP(B1687,'REGISTRO ABONOS'!$B$8:$BC$10012,54,0)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1"/>
        <v>105000</v>
      </c>
      <c r="K1688" t="e">
        <f>VLOOKUP(B1688,'REGISTRO ABONOS'!$B$8:$BC$10012,54,0)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1"/>
        <v>105000</v>
      </c>
      <c r="K1689" t="e">
        <f>VLOOKUP(B1689,'REGISTRO ABONOS'!$B$8:$BC$10012,54,0)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1"/>
        <v>105000</v>
      </c>
      <c r="K1690" t="e">
        <f>VLOOKUP(B1690,'REGISTRO ABONOS'!$B$8:$BC$10012,54,0)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1"/>
        <v>105000</v>
      </c>
      <c r="K1691" t="e">
        <f>VLOOKUP(B1691,'REGISTRO ABONOS'!$B$8:$BC$10012,54,0)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1"/>
        <v>105000</v>
      </c>
      <c r="K1692" t="e">
        <f>VLOOKUP(B1692,'REGISTRO ABONOS'!$B$8:$BC$10012,54,0)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J1693">
        <f t="shared" si="31"/>
        <v>105000</v>
      </c>
      <c r="K1693" t="e">
        <f>VLOOKUP(B1693,'REGISTRO ABONOS'!$B$8:$BC$10012,54,0)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J1694">
        <f t="shared" si="31"/>
        <v>105000</v>
      </c>
      <c r="K1694" t="e">
        <f>VLOOKUP(B1694,'REGISTRO ABONOS'!$B$8:$BC$10012,54,0)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1"/>
        <v>105000</v>
      </c>
      <c r="K1695" t="e">
        <f>VLOOKUP(B1695,'REGISTRO ABONOS'!$B$8:$BC$10012,54,0)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1"/>
        <v>105000</v>
      </c>
      <c r="K1696" t="e">
        <f>VLOOKUP(B1696,'REGISTRO ABONOS'!$B$8:$BC$10012,54,0)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1"/>
        <v>105000</v>
      </c>
      <c r="K1697" t="e">
        <f>VLOOKUP(B1697,'REGISTRO ABONOS'!$B$8:$BC$10012,54,0)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J1698">
        <f t="shared" si="31"/>
        <v>105000</v>
      </c>
      <c r="K1698" t="e">
        <f>VLOOKUP(B1698,'REGISTRO ABONOS'!$B$8:$BC$10012,54,0)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J1699">
        <f t="shared" si="31"/>
        <v>105000</v>
      </c>
      <c r="K1699" t="e">
        <f>VLOOKUP(B1699,'REGISTRO ABONOS'!$B$8:$BC$10012,54,0)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1"/>
        <v>105000</v>
      </c>
      <c r="K1700" t="e">
        <f>VLOOKUP(B1700,'REGISTRO ABONOS'!$B$8:$BC$10012,54,0)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1"/>
        <v>105000</v>
      </c>
      <c r="K1701" t="e">
        <f>VLOOKUP(B1701,'REGISTRO ABONOS'!$B$8:$BC$10012,54,0)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1"/>
        <v>105000</v>
      </c>
      <c r="K1702" t="e">
        <f>VLOOKUP(B1702,'REGISTRO ABONOS'!$B$8:$BC$10012,54,0)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1"/>
        <v>105000</v>
      </c>
      <c r="K1703" t="e">
        <f>VLOOKUP(B1703,'REGISTRO ABONOS'!$B$8:$BC$10012,54,0)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1"/>
        <v>105000</v>
      </c>
      <c r="K1704" t="e">
        <f>VLOOKUP(B1704,'REGISTRO ABONOS'!$B$8:$BC$10012,54,0)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1"/>
        <v>105000</v>
      </c>
      <c r="K1705" t="e">
        <f>VLOOKUP(B1705,'REGISTRO ABONOS'!$B$8:$BC$10012,54,0)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1"/>
        <v>105000</v>
      </c>
      <c r="K1706" t="e">
        <f>VLOOKUP(B1706,'REGISTRO ABONOS'!$B$8:$BC$10012,54,0)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1"/>
        <v>105000</v>
      </c>
      <c r="K1707" t="e">
        <f>VLOOKUP(B1707,'REGISTRO ABONOS'!$B$8:$BC$10012,54,0)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1"/>
        <v>105000</v>
      </c>
      <c r="K1708" t="e">
        <f>VLOOKUP(B1708,'REGISTRO ABONOS'!$B$8:$BC$10012,54,0)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J1709">
        <f t="shared" si="31"/>
        <v>105000</v>
      </c>
      <c r="K1709" t="e">
        <f>VLOOKUP(B1709,'REGISTRO ABONOS'!$B$8:$BC$10012,54,0)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1"/>
        <v>105000</v>
      </c>
      <c r="K1710" t="e">
        <f>VLOOKUP(B1710,'REGISTRO ABONOS'!$B$8:$BC$10012,54,0)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J1711">
        <f t="shared" si="31"/>
        <v>105000</v>
      </c>
      <c r="K1711" t="e">
        <f>VLOOKUP(B1711,'REGISTRO ABONOS'!$B$8:$BC$10012,54,0)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J1712">
        <f t="shared" si="31"/>
        <v>105000</v>
      </c>
      <c r="K1712" t="e">
        <f>VLOOKUP(B1712,'REGISTRO ABONOS'!$B$8:$BC$10012,54,0)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1"/>
        <v>105000</v>
      </c>
      <c r="K1713" t="e">
        <f>VLOOKUP(B1713,'REGISTRO ABONOS'!$B$8:$BC$10012,54,0)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J1714">
        <f t="shared" si="31"/>
        <v>105000</v>
      </c>
      <c r="K1714" t="e">
        <f>VLOOKUP(B1714,'REGISTRO ABONOS'!$B$8:$BC$10012,54,0)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1"/>
        <v>105000</v>
      </c>
      <c r="K1715" t="e">
        <f>VLOOKUP(B1715,'REGISTRO ABONOS'!$B$8:$BC$10012,54,0)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J1716">
        <f t="shared" si="31"/>
        <v>105000</v>
      </c>
      <c r="K1716" t="e">
        <f>VLOOKUP(B1716,'REGISTRO ABONOS'!$B$8:$BC$10012,54,0)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J1717">
        <f t="shared" si="31"/>
        <v>105000</v>
      </c>
      <c r="K1717" t="e">
        <f>VLOOKUP(B1717,'REGISTRO ABONOS'!$B$8:$BC$10012,54,0)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J1718">
        <f t="shared" si="31"/>
        <v>105000</v>
      </c>
      <c r="K1718" t="e">
        <f>VLOOKUP(B1718,'REGISTRO ABONOS'!$B$8:$BC$10012,54,0)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J1719">
        <f t="shared" si="31"/>
        <v>105000</v>
      </c>
      <c r="K1719" t="e">
        <f>VLOOKUP(B1719,'REGISTRO ABONOS'!$B$8:$BC$10012,54,0)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J1720">
        <f t="shared" si="31"/>
        <v>105000</v>
      </c>
      <c r="K1720" t="e">
        <f>VLOOKUP(B1720,'REGISTRO ABONOS'!$B$8:$BC$10012,54,0)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1"/>
        <v>105000</v>
      </c>
      <c r="K1721" t="e">
        <f>VLOOKUP(B1721,'REGISTRO ABONOS'!$B$8:$BC$10012,54,0)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1"/>
        <v>105000</v>
      </c>
      <c r="K1722" t="e">
        <f>VLOOKUP(B1722,'REGISTRO ABONOS'!$B$8:$BC$10012,54,0)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1"/>
        <v>105000</v>
      </c>
      <c r="K1723" t="e">
        <f>VLOOKUP(B1723,'REGISTRO ABONOS'!$B$8:$BC$10012,54,0)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ABONOS'!$B$8:$BC$10012,54,0)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2"/>
        <v>105000</v>
      </c>
      <c r="K1725" t="e">
        <f>VLOOKUP(B1725,'REGISTRO ABONOS'!$B$8:$BC$10012,54,0)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2"/>
        <v>105000</v>
      </c>
      <c r="K1726" t="e">
        <f>VLOOKUP(B1726,'REGISTRO ABONOS'!$B$8:$BC$10012,54,0)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2"/>
        <v>105000</v>
      </c>
      <c r="K1727" t="e">
        <f>VLOOKUP(B1727,'REGISTRO ABONOS'!$B$8:$BC$10012,54,0)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2"/>
        <v>105000</v>
      </c>
      <c r="K1728" t="e">
        <f>VLOOKUP(B1728,'REGISTRO ABONOS'!$B$8:$BC$10012,54,0)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J1729">
        <f t="shared" si="32"/>
        <v>105000</v>
      </c>
      <c r="K1729" t="e">
        <f>VLOOKUP(B1729,'REGISTRO ABONOS'!$B$8:$BC$10012,54,0)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J1730">
        <f t="shared" si="32"/>
        <v>105000</v>
      </c>
      <c r="K1730" t="e">
        <f>VLOOKUP(B1730,'REGISTRO ABONOS'!$B$8:$BC$10012,54,0)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J1731">
        <f t="shared" si="32"/>
        <v>105000</v>
      </c>
      <c r="K1731" t="e">
        <f>VLOOKUP(B1731,'REGISTRO ABONOS'!$B$8:$BC$10012,54,0)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2"/>
        <v>105000</v>
      </c>
      <c r="K1732" t="e">
        <f>VLOOKUP(B1732,'REGISTRO ABONOS'!$B$8:$BC$10012,54,0)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2"/>
        <v>105000</v>
      </c>
      <c r="K1733" t="e">
        <f>VLOOKUP(B1733,'REGISTRO ABONOS'!$B$8:$BC$10012,54,0)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2"/>
        <v>105000</v>
      </c>
      <c r="K1734" t="e">
        <f>VLOOKUP(B1734,'REGISTRO ABONOS'!$B$8:$BC$10012,54,0)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J1735">
        <f t="shared" si="32"/>
        <v>105000</v>
      </c>
      <c r="K1735" t="e">
        <f>VLOOKUP(B1735,'REGISTRO ABONOS'!$B$8:$BC$10012,54,0)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2"/>
        <v>105000</v>
      </c>
      <c r="K1736" t="e">
        <f>VLOOKUP(B1736,'REGISTRO ABONOS'!$B$8:$BC$10012,54,0)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J1737">
        <f t="shared" si="32"/>
        <v>105000</v>
      </c>
      <c r="K1737" t="e">
        <f>VLOOKUP(B1737,'REGISTRO ABONOS'!$B$8:$BC$10012,54,0)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J1738">
        <f t="shared" si="32"/>
        <v>105000</v>
      </c>
      <c r="K1738" t="e">
        <f>VLOOKUP(B1738,'REGISTRO ABONOS'!$B$8:$BC$10012,54,0)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2"/>
        <v>105000</v>
      </c>
      <c r="K1739" t="e">
        <f>VLOOKUP(B1739,'REGISTRO ABONOS'!$B$8:$BC$10012,54,0)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2"/>
        <v>105000</v>
      </c>
      <c r="K1740" t="e">
        <f>VLOOKUP(B1740,'REGISTRO ABONOS'!$B$8:$BC$10012,54,0)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2"/>
        <v>105000</v>
      </c>
      <c r="K1741" t="e">
        <f>VLOOKUP(B1741,'REGISTRO ABONOS'!$B$8:$BC$10012,54,0)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2"/>
        <v>105000</v>
      </c>
      <c r="K1742" t="e">
        <f>VLOOKUP(B1742,'REGISTRO ABONOS'!$B$8:$BC$10012,54,0)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2"/>
        <v>105000</v>
      </c>
      <c r="K1743" t="e">
        <f>VLOOKUP(B1743,'REGISTRO ABONOS'!$B$8:$BC$10012,54,0)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2"/>
        <v>105000</v>
      </c>
      <c r="K1744" t="e">
        <f>VLOOKUP(B1744,'REGISTRO ABONOS'!$B$8:$BC$10012,54,0)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2"/>
        <v>105000</v>
      </c>
      <c r="K1745" t="e">
        <f>VLOOKUP(B1745,'REGISTRO ABONOS'!$B$8:$BC$10012,54,0)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2"/>
        <v>105000</v>
      </c>
      <c r="K1746" t="e">
        <f>VLOOKUP(B1746,'REGISTRO ABONOS'!$B$8:$BC$10012,54,0)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2"/>
        <v>105000</v>
      </c>
      <c r="K1747" t="e">
        <f>VLOOKUP(B1747,'REGISTRO ABONOS'!$B$8:$BC$10012,54,0)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2"/>
        <v>105000</v>
      </c>
      <c r="K1748" t="e">
        <f>VLOOKUP(B1748,'REGISTRO ABONOS'!$B$8:$BC$10012,54,0)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2"/>
        <v>105000</v>
      </c>
      <c r="K1749" t="e">
        <f>VLOOKUP(B1749,'REGISTRO ABONOS'!$B$8:$BC$10012,54,0)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2"/>
        <v>105000</v>
      </c>
      <c r="K1750" t="e">
        <f>VLOOKUP(B1750,'REGISTRO ABONOS'!$B$8:$BC$10012,54,0)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2"/>
        <v>105000</v>
      </c>
      <c r="K1751" t="e">
        <f>VLOOKUP(B1751,'REGISTRO ABONOS'!$B$8:$BC$10012,54,0)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2"/>
        <v>105000</v>
      </c>
      <c r="K1752" t="e">
        <f>VLOOKUP(B1752,'REGISTRO ABONOS'!$B$8:$BC$10012,54,0)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J1753">
        <f t="shared" si="32"/>
        <v>105000</v>
      </c>
      <c r="K1753" t="e">
        <f>VLOOKUP(B1753,'REGISTRO ABONOS'!$B$8:$BC$10012,54,0)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2"/>
        <v>105000</v>
      </c>
      <c r="K1754" t="e">
        <f>VLOOKUP(B1754,'REGISTRO ABONOS'!$B$8:$BC$10012,54,0)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2"/>
        <v>105000</v>
      </c>
      <c r="K1755" t="e">
        <f>VLOOKUP(B1755,'REGISTRO ABONOS'!$B$8:$BC$10012,54,0)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2"/>
        <v>105000</v>
      </c>
      <c r="K1756" t="e">
        <f>VLOOKUP(B1756,'REGISTRO ABONOS'!$B$8:$BC$10012,54,0)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2"/>
        <v>105000</v>
      </c>
      <c r="K1757" t="e">
        <f>VLOOKUP(B1757,'REGISTRO ABONOS'!$B$8:$BC$10012,54,0)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2"/>
        <v>105000</v>
      </c>
      <c r="K1758" t="e">
        <f>VLOOKUP(B1758,'REGISTRO ABONOS'!$B$8:$BC$10012,54,0)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2"/>
        <v>105000</v>
      </c>
      <c r="K1759" t="e">
        <f>VLOOKUP(B1759,'REGISTRO ABONOS'!$B$8:$BC$10012,54,0)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2"/>
        <v>105000</v>
      </c>
      <c r="K1760" t="e">
        <f>VLOOKUP(B1760,'REGISTRO ABONOS'!$B$8:$BC$10012,54,0)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J1761">
        <f t="shared" si="32"/>
        <v>105000</v>
      </c>
      <c r="K1761" t="e">
        <f>VLOOKUP(B1761,'REGISTRO ABONOS'!$B$8:$BC$10012,54,0)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2"/>
        <v>105000</v>
      </c>
      <c r="K1762" t="e">
        <f>VLOOKUP(B1762,'REGISTRO ABONOS'!$B$8:$BC$10012,54,0)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J1763">
        <f t="shared" si="32"/>
        <v>105000</v>
      </c>
      <c r="K1763" t="e">
        <f>VLOOKUP(B1763,'REGISTRO ABONOS'!$B$8:$BC$10012,54,0)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J1764">
        <f t="shared" si="32"/>
        <v>105000</v>
      </c>
      <c r="K1764" t="e">
        <f>VLOOKUP(B1764,'REGISTRO ABONOS'!$B$8:$BC$10012,54,0)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2"/>
        <v>105000</v>
      </c>
      <c r="K1765" t="e">
        <f>VLOOKUP(B1765,'REGISTRO ABONOS'!$B$8:$BC$10012,54,0)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2"/>
        <v>105000</v>
      </c>
      <c r="K1766" t="e">
        <f>VLOOKUP(B1766,'REGISTRO ABONOS'!$B$8:$BC$10012,54,0)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2"/>
        <v>105000</v>
      </c>
      <c r="K1767" t="e">
        <f>VLOOKUP(B1767,'REGISTRO ABONOS'!$B$8:$BC$10012,54,0)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2"/>
        <v>105000</v>
      </c>
      <c r="K1768" t="e">
        <f>VLOOKUP(B1768,'REGISTRO ABONOS'!$B$8:$BC$10012,54,0)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2"/>
        <v>105000</v>
      </c>
      <c r="K1769" t="e">
        <f>VLOOKUP(B1769,'REGISTRO ABONOS'!$B$8:$BC$10012,54,0)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2"/>
        <v>105000</v>
      </c>
      <c r="K1770" t="e">
        <f>VLOOKUP(B1770,'REGISTRO ABONOS'!$B$8:$BC$10012,54,0)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2"/>
        <v>105000</v>
      </c>
      <c r="K1771" t="e">
        <f>VLOOKUP(B1771,'REGISTRO ABONOS'!$B$8:$BC$10012,54,0)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2"/>
        <v>105000</v>
      </c>
      <c r="K1772" t="e">
        <f>VLOOKUP(B1772,'REGISTRO ABONOS'!$B$8:$BC$10012,54,0)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2"/>
        <v>105000</v>
      </c>
      <c r="K1773" t="e">
        <f>VLOOKUP(B1773,'REGISTRO ABONOS'!$B$8:$BC$10012,54,0)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2"/>
        <v>105000</v>
      </c>
      <c r="K1774" t="e">
        <f>VLOOKUP(B1774,'REGISTRO ABONOS'!$B$8:$BC$10012,54,0)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2"/>
        <v>105000</v>
      </c>
      <c r="K1775" t="e">
        <f>VLOOKUP(B1775,'REGISTRO ABONOS'!$B$8:$BC$10012,54,0)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2"/>
        <v>105000</v>
      </c>
      <c r="K1776" t="e">
        <f>VLOOKUP(B1776,'REGISTRO ABONOS'!$B$8:$BC$10012,54,0)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J1777">
        <f t="shared" si="32"/>
        <v>105000</v>
      </c>
      <c r="K1777" t="e">
        <f>VLOOKUP(B1777,'REGISTRO ABONOS'!$B$8:$BC$10012,54,0)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2"/>
        <v>105000</v>
      </c>
      <c r="K1778" t="e">
        <f>VLOOKUP(B1778,'REGISTRO ABONOS'!$B$8:$BC$10012,54,0)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2"/>
        <v>105000</v>
      </c>
      <c r="K1779" t="e">
        <f>VLOOKUP(B1779,'REGISTRO ABONOS'!$B$8:$BC$10012,54,0)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2"/>
        <v>105000</v>
      </c>
      <c r="K1780" t="e">
        <f>VLOOKUP(B1780,'REGISTRO ABONOS'!$B$8:$BC$10012,54,0)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2"/>
        <v>105000</v>
      </c>
      <c r="K1781" t="e">
        <f>VLOOKUP(B1781,'REGISTRO ABONOS'!$B$8:$BC$10012,54,0)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2"/>
        <v>105000</v>
      </c>
      <c r="K1782" t="e">
        <f>VLOOKUP(B1782,'REGISTRO ABONOS'!$B$8:$BC$10012,54,0)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2"/>
        <v>105000</v>
      </c>
      <c r="K1783" t="e">
        <f>VLOOKUP(B1783,'REGISTRO ABONOS'!$B$8:$BC$10012,54,0)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2"/>
        <v>105000</v>
      </c>
      <c r="K1784" t="e">
        <f>VLOOKUP(B1784,'REGISTRO ABONOS'!$B$8:$BC$10012,54,0)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2"/>
        <v>105000</v>
      </c>
      <c r="K1785" t="e">
        <f>VLOOKUP(B1785,'REGISTRO ABONOS'!$B$8:$BC$10012,54,0)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J1786">
        <f t="shared" si="32"/>
        <v>105000</v>
      </c>
      <c r="K1786" t="e">
        <f>VLOOKUP(B1786,'REGISTRO ABONOS'!$B$8:$BC$10012,54,0)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2"/>
        <v>105000</v>
      </c>
      <c r="K1787" t="e">
        <f>VLOOKUP(B1787,'REGISTRO ABONOS'!$B$8:$BC$10012,54,0)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ABONOS'!$B$8:$BC$10012,54,0)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3"/>
        <v>105000</v>
      </c>
      <c r="K1789" t="e">
        <f>VLOOKUP(B1789,'REGISTRO ABONOS'!$B$8:$BC$10012,54,0)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3"/>
        <v>105000</v>
      </c>
      <c r="K1790" t="e">
        <f>VLOOKUP(B1790,'REGISTRO ABONOS'!$B$8:$BC$10012,54,0)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3"/>
        <v>105000</v>
      </c>
      <c r="K1791" t="e">
        <f>VLOOKUP(B1791,'REGISTRO ABONOS'!$B$8:$BC$10012,54,0)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3"/>
        <v>105000</v>
      </c>
      <c r="K1792" t="e">
        <f>VLOOKUP(B1792,'REGISTRO ABONOS'!$B$8:$BC$10012,54,0)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3"/>
        <v>105000</v>
      </c>
      <c r="K1793" t="e">
        <f>VLOOKUP(B1793,'REGISTRO ABONOS'!$B$8:$BC$10012,54,0)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3"/>
        <v>105000</v>
      </c>
      <c r="K1794" t="e">
        <f>VLOOKUP(B1794,'REGISTRO ABONOS'!$B$8:$BC$10012,54,0)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3"/>
        <v>105000</v>
      </c>
      <c r="K1795" t="e">
        <f>VLOOKUP(B1795,'REGISTRO ABONOS'!$B$8:$BC$10012,54,0)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3"/>
        <v>105000</v>
      </c>
      <c r="K1796" t="e">
        <f>VLOOKUP(B1796,'REGISTRO ABONOS'!$B$8:$BC$10012,54,0)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3"/>
        <v>105000</v>
      </c>
      <c r="K1797" t="e">
        <f>VLOOKUP(B1797,'REGISTRO ABONOS'!$B$8:$BC$10012,54,0)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3"/>
        <v>105000</v>
      </c>
      <c r="K1798" t="e">
        <f>VLOOKUP(B1798,'REGISTRO ABONOS'!$B$8:$BC$10012,54,0)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3"/>
        <v>105000</v>
      </c>
      <c r="K1799" t="e">
        <f>VLOOKUP(B1799,'REGISTRO ABONOS'!$B$8:$BC$10012,54,0)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3"/>
        <v>105000</v>
      </c>
      <c r="K1800" t="e">
        <f>VLOOKUP(B1800,'REGISTRO ABONOS'!$B$8:$BC$10012,54,0)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J1801">
        <f t="shared" si="33"/>
        <v>105000</v>
      </c>
      <c r="K1801" t="e">
        <f>VLOOKUP(B1801,'REGISTRO ABONOS'!$B$8:$BC$10012,54,0)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J1802">
        <f t="shared" si="33"/>
        <v>105000</v>
      </c>
      <c r="K1802" t="e">
        <f>VLOOKUP(B1802,'REGISTRO ABONOS'!$B$8:$BC$10012,54,0)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J1803">
        <f t="shared" si="33"/>
        <v>105000</v>
      </c>
      <c r="K1803" t="e">
        <f>VLOOKUP(B1803,'REGISTRO ABONOS'!$B$8:$BC$10012,54,0)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3"/>
        <v>105000</v>
      </c>
      <c r="K1804" t="e">
        <f>VLOOKUP(B1804,'REGISTRO ABONOS'!$B$8:$BC$10012,54,0)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J1805">
        <f t="shared" si="33"/>
        <v>105000</v>
      </c>
      <c r="K1805" t="e">
        <f>VLOOKUP(B1805,'REGISTRO ABONOS'!$B$8:$BC$10012,54,0)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3"/>
        <v>105000</v>
      </c>
      <c r="K1806" t="e">
        <f>VLOOKUP(B1806,'REGISTRO ABONOS'!$B$8:$BC$10012,54,0)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J1807">
        <f t="shared" si="33"/>
        <v>105000</v>
      </c>
      <c r="K1807" t="e">
        <f>VLOOKUP(B1807,'REGISTRO ABONOS'!$B$8:$BC$10012,54,0)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3"/>
        <v>105000</v>
      </c>
      <c r="K1808" t="e">
        <f>VLOOKUP(B1808,'REGISTRO ABONOS'!$B$8:$BC$10012,54,0)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3"/>
        <v>105000</v>
      </c>
      <c r="K1809" t="e">
        <f>VLOOKUP(B1809,'REGISTRO ABONOS'!$B$8:$BC$10012,54,0)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J1810">
        <f t="shared" si="33"/>
        <v>105000</v>
      </c>
      <c r="K1810" t="e">
        <f>VLOOKUP(B1810,'REGISTRO ABONOS'!$B$8:$BC$10012,54,0)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3"/>
        <v>105000</v>
      </c>
      <c r="K1811" t="e">
        <f>VLOOKUP(B1811,'REGISTRO ABONOS'!$B$8:$BC$10012,54,0)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J1812">
        <f t="shared" si="33"/>
        <v>105000</v>
      </c>
      <c r="K1812" t="e">
        <f>VLOOKUP(B1812,'REGISTRO ABONOS'!$B$8:$BC$10012,54,0)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3"/>
        <v>105000</v>
      </c>
      <c r="K1813" t="e">
        <f>VLOOKUP(B1813,'REGISTRO ABONOS'!$B$8:$BC$10012,54,0)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3"/>
        <v>105000</v>
      </c>
      <c r="K1814" t="e">
        <f>VLOOKUP(B1814,'REGISTRO ABONOS'!$B$8:$BC$10012,54,0)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3"/>
        <v>105000</v>
      </c>
      <c r="K1815" t="e">
        <f>VLOOKUP(B1815,'REGISTRO ABONOS'!$B$8:$BC$10012,54,0)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3"/>
        <v>105000</v>
      </c>
      <c r="K1816" t="e">
        <f>VLOOKUP(B1816,'REGISTRO ABONOS'!$B$8:$BC$10012,54,0)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J1817">
        <f t="shared" si="33"/>
        <v>105000</v>
      </c>
      <c r="K1817" t="e">
        <f>VLOOKUP(B1817,'REGISTRO ABONOS'!$B$8:$BC$10012,54,0)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3"/>
        <v>105000</v>
      </c>
      <c r="K1818" t="e">
        <f>VLOOKUP(B1818,'REGISTRO ABONOS'!$B$8:$BC$10012,54,0)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J1819">
        <f t="shared" si="33"/>
        <v>105000</v>
      </c>
      <c r="K1819" t="e">
        <f>VLOOKUP(B1819,'REGISTRO ABONOS'!$B$8:$BC$10012,54,0)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3"/>
        <v>105000</v>
      </c>
      <c r="K1820" t="e">
        <f>VLOOKUP(B1820,'REGISTRO ABONOS'!$B$8:$BC$10012,54,0)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3"/>
        <v>105000</v>
      </c>
      <c r="K1821" t="e">
        <f>VLOOKUP(B1821,'REGISTRO ABONOS'!$B$8:$BC$10012,54,0)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3"/>
        <v>105000</v>
      </c>
      <c r="K1822" t="e">
        <f>VLOOKUP(B1822,'REGISTRO ABONOS'!$B$8:$BC$10012,54,0)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3"/>
        <v>105000</v>
      </c>
      <c r="K1823" t="e">
        <f>VLOOKUP(B1823,'REGISTRO ABONOS'!$B$8:$BC$10012,54,0)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J1824">
        <f t="shared" si="33"/>
        <v>105000</v>
      </c>
      <c r="K1824" t="e">
        <f>VLOOKUP(B1824,'REGISTRO ABONOS'!$B$8:$BC$10012,54,0)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J1825">
        <f t="shared" si="33"/>
        <v>105000</v>
      </c>
      <c r="K1825" t="e">
        <f>VLOOKUP(B1825,'REGISTRO ABONOS'!$B$8:$BC$10012,54,0)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3"/>
        <v>105000</v>
      </c>
      <c r="K1826" t="e">
        <f>VLOOKUP(B1826,'REGISTRO ABONOS'!$B$8:$BC$10012,54,0)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3"/>
        <v>105000</v>
      </c>
      <c r="K1827" t="e">
        <f>VLOOKUP(B1827,'REGISTRO ABONOS'!$B$8:$BC$10012,54,0)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J1828">
        <f t="shared" si="33"/>
        <v>105000</v>
      </c>
      <c r="K1828" t="e">
        <f>VLOOKUP(B1828,'REGISTRO ABONOS'!$B$8:$BC$10012,54,0)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3"/>
        <v>105000</v>
      </c>
      <c r="K1829" t="e">
        <f>VLOOKUP(B1829,'REGISTRO ABONOS'!$B$8:$BC$10012,54,0)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3"/>
        <v>105000</v>
      </c>
      <c r="K1830" t="e">
        <f>VLOOKUP(B1830,'REGISTRO ABONOS'!$B$8:$BC$10012,54,0)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J1831">
        <f t="shared" si="33"/>
        <v>105000</v>
      </c>
      <c r="K1831" t="e">
        <f>VLOOKUP(B1831,'REGISTRO ABONOS'!$B$8:$BC$10012,54,0)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3"/>
        <v>105000</v>
      </c>
      <c r="K1832" t="e">
        <f>VLOOKUP(B1832,'REGISTRO ABONOS'!$B$8:$BC$10012,54,0)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J1833">
        <f t="shared" si="33"/>
        <v>105000</v>
      </c>
      <c r="K1833" t="e">
        <f>VLOOKUP(B1833,'REGISTRO ABONOS'!$B$8:$BC$10012,54,0)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3"/>
        <v>105000</v>
      </c>
      <c r="K1834" t="e">
        <f>VLOOKUP(B1834,'REGISTRO ABONOS'!$B$8:$BC$10012,54,0)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3"/>
        <v>105000</v>
      </c>
      <c r="K1835" t="e">
        <f>VLOOKUP(B1835,'REGISTRO ABONOS'!$B$8:$BC$10012,54,0)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J1836">
        <f t="shared" si="33"/>
        <v>105000</v>
      </c>
      <c r="K1836" t="e">
        <f>VLOOKUP(B1836,'REGISTRO ABONOS'!$B$8:$BC$10012,54,0)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J1837">
        <f t="shared" si="33"/>
        <v>105000</v>
      </c>
      <c r="K1837" t="e">
        <f>VLOOKUP(B1837,'REGISTRO ABONOS'!$B$8:$BC$10012,54,0)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3"/>
        <v>105000</v>
      </c>
      <c r="K1838" t="e">
        <f>VLOOKUP(B1838,'REGISTRO ABONOS'!$B$8:$BC$10012,54,0)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3"/>
        <v>105000</v>
      </c>
      <c r="K1839" t="e">
        <f>VLOOKUP(B1839,'REGISTRO ABONOS'!$B$8:$BC$10012,54,0)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3"/>
        <v>105000</v>
      </c>
      <c r="K1840" t="e">
        <f>VLOOKUP(B1840,'REGISTRO ABONOS'!$B$8:$BC$10012,54,0)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3"/>
        <v>105000</v>
      </c>
      <c r="K1841" t="e">
        <f>VLOOKUP(B1841,'REGISTRO ABONOS'!$B$8:$BC$10012,54,0)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3"/>
        <v>105000</v>
      </c>
      <c r="K1842" t="e">
        <f>VLOOKUP(B1842,'REGISTRO ABONOS'!$B$8:$BC$10012,54,0)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J1843">
        <f t="shared" si="33"/>
        <v>105000</v>
      </c>
      <c r="K1843" t="e">
        <f>VLOOKUP(B1843,'REGISTRO ABONOS'!$B$8:$BC$10012,54,0)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J1844">
        <f t="shared" si="33"/>
        <v>105000</v>
      </c>
      <c r="K1844" t="e">
        <f>VLOOKUP(B1844,'REGISTRO ABONOS'!$B$8:$BC$10012,54,0)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J1845">
        <f t="shared" si="33"/>
        <v>105000</v>
      </c>
      <c r="K1845" t="e">
        <f>VLOOKUP(B1845,'REGISTRO ABONOS'!$B$8:$BC$10012,54,0)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3"/>
        <v>105000</v>
      </c>
      <c r="K1846" t="e">
        <f>VLOOKUP(B1846,'REGISTRO ABONOS'!$B$8:$BC$10012,54,0)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3"/>
        <v>105000</v>
      </c>
      <c r="K1847" t="e">
        <f>VLOOKUP(B1847,'REGISTRO ABONOS'!$B$8:$BC$10012,54,0)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3"/>
        <v>105000</v>
      </c>
      <c r="K1848" t="e">
        <f>VLOOKUP(B1848,'REGISTRO ABONOS'!$B$8:$BC$10012,54,0)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J1849">
        <f t="shared" si="33"/>
        <v>105000</v>
      </c>
      <c r="K1849" t="e">
        <f>VLOOKUP(B1849,'REGISTRO ABONOS'!$B$8:$BC$10012,54,0)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J1850">
        <f t="shared" si="33"/>
        <v>105000</v>
      </c>
      <c r="K1850" t="e">
        <f>VLOOKUP(B1850,'REGISTRO ABONOS'!$B$8:$BC$10012,54,0)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J1851">
        <f t="shared" si="33"/>
        <v>105000</v>
      </c>
      <c r="K1851" t="e">
        <f>VLOOKUP(B1851,'REGISTRO ABONOS'!$B$8:$BC$10012,54,0)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ABONOS'!$B$8:$BC$10012,54,0)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J1853">
        <f t="shared" si="34"/>
        <v>105000</v>
      </c>
      <c r="K1853" t="e">
        <f>VLOOKUP(B1853,'REGISTRO ABONOS'!$B$8:$BC$10012,54,0)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4"/>
        <v>105000</v>
      </c>
      <c r="K1854" t="e">
        <f>VLOOKUP(B1854,'REGISTRO ABONOS'!$B$8:$BC$10012,54,0)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4"/>
        <v>105000</v>
      </c>
      <c r="K1855" t="e">
        <f>VLOOKUP(B1855,'REGISTRO ABONOS'!$B$8:$BC$10012,54,0)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4"/>
        <v>105000</v>
      </c>
      <c r="K1856" t="e">
        <f>VLOOKUP(B1856,'REGISTRO ABONOS'!$B$8:$BC$10012,54,0)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4"/>
        <v>105000</v>
      </c>
      <c r="K1857" t="e">
        <f>VLOOKUP(B1857,'REGISTRO ABONOS'!$B$8:$BC$10012,54,0)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4"/>
        <v>105000</v>
      </c>
      <c r="K1858" t="e">
        <f>VLOOKUP(B1858,'REGISTRO ABONOS'!$B$8:$BC$10012,54,0)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4"/>
        <v>105000</v>
      </c>
      <c r="K1859" t="e">
        <f>VLOOKUP(B1859,'REGISTRO ABONOS'!$B$8:$BC$10012,54,0)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4"/>
        <v>105000</v>
      </c>
      <c r="K1860" t="e">
        <f>VLOOKUP(B1860,'REGISTRO ABONOS'!$B$8:$BC$10012,54,0)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J1861">
        <f t="shared" si="34"/>
        <v>105000</v>
      </c>
      <c r="K1861" t="e">
        <f>VLOOKUP(B1861,'REGISTRO ABONOS'!$B$8:$BC$10012,54,0)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4"/>
        <v>105000</v>
      </c>
      <c r="K1862" t="e">
        <f>VLOOKUP(B1862,'REGISTRO ABONOS'!$B$8:$BC$10012,54,0)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4"/>
        <v>105000</v>
      </c>
      <c r="K1863" t="e">
        <f>VLOOKUP(B1863,'REGISTRO ABONOS'!$B$8:$BC$10012,54,0)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4"/>
        <v>105000</v>
      </c>
      <c r="K1864" t="e">
        <f>VLOOKUP(B1864,'REGISTRO ABONOS'!$B$8:$BC$10012,54,0)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4"/>
        <v>105000</v>
      </c>
      <c r="K1865" t="e">
        <f>VLOOKUP(B1865,'REGISTRO ABONOS'!$B$8:$BC$10012,54,0)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4"/>
        <v>105000</v>
      </c>
      <c r="K1866" t="e">
        <f>VLOOKUP(B1866,'REGISTRO ABONOS'!$B$8:$BC$10012,54,0)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J1867">
        <f t="shared" si="34"/>
        <v>105000</v>
      </c>
      <c r="K1867" t="e">
        <f>VLOOKUP(B1867,'REGISTRO ABONOS'!$B$8:$BC$10012,54,0)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4"/>
        <v>105000</v>
      </c>
      <c r="K1868" t="e">
        <f>VLOOKUP(B1868,'REGISTRO ABONOS'!$B$8:$BC$10012,54,0)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4"/>
        <v>105000</v>
      </c>
      <c r="K1869" t="e">
        <f>VLOOKUP(B1869,'REGISTRO ABONOS'!$B$8:$BC$10012,54,0)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4"/>
        <v>105000</v>
      </c>
      <c r="K1870" t="e">
        <f>VLOOKUP(B1870,'REGISTRO ABONOS'!$B$8:$BC$10012,54,0)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4"/>
        <v>105000</v>
      </c>
      <c r="K1871" t="e">
        <f>VLOOKUP(B1871,'REGISTRO ABONOS'!$B$8:$BC$10012,54,0)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4"/>
        <v>105000</v>
      </c>
      <c r="K1872" t="e">
        <f>VLOOKUP(B1872,'REGISTRO ABONOS'!$B$8:$BC$10012,54,0)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4"/>
        <v>105000</v>
      </c>
      <c r="K1873" t="e">
        <f>VLOOKUP(B1873,'REGISTRO ABONOS'!$B$8:$BC$10012,54,0)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4"/>
        <v>105000</v>
      </c>
      <c r="K1874" t="e">
        <f>VLOOKUP(B1874,'REGISTRO ABONOS'!$B$8:$BC$10012,54,0)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J1875">
        <f t="shared" si="34"/>
        <v>105000</v>
      </c>
      <c r="K1875" t="e">
        <f>VLOOKUP(B1875,'REGISTRO ABONOS'!$B$8:$BC$10012,54,0)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4"/>
        <v>105000</v>
      </c>
      <c r="K1876" t="e">
        <f>VLOOKUP(B1876,'REGISTRO ABONOS'!$B$8:$BC$10012,54,0)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J1877">
        <f t="shared" si="34"/>
        <v>105000</v>
      </c>
      <c r="K1877" t="e">
        <f>VLOOKUP(B1877,'REGISTRO ABONOS'!$B$8:$BC$10012,54,0)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J1878">
        <f t="shared" si="34"/>
        <v>105000</v>
      </c>
      <c r="K1878" t="e">
        <f>VLOOKUP(B1878,'REGISTRO ABONOS'!$B$8:$BC$10012,54,0)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J1879">
        <f t="shared" si="34"/>
        <v>105000</v>
      </c>
      <c r="K1879" t="e">
        <f>VLOOKUP(B1879,'REGISTRO ABONOS'!$B$8:$BC$10012,54,0)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4"/>
        <v>105000</v>
      </c>
      <c r="K1880" t="e">
        <f>VLOOKUP(B1880,'REGISTRO ABONOS'!$B$8:$BC$10012,54,0)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J1881">
        <f t="shared" si="34"/>
        <v>105000</v>
      </c>
      <c r="K1881" t="e">
        <f>VLOOKUP(B1881,'REGISTRO ABONOS'!$B$8:$BC$10012,54,0)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4"/>
        <v>105000</v>
      </c>
      <c r="K1882" t="e">
        <f>VLOOKUP(B1882,'REGISTRO ABONOS'!$B$8:$BC$10012,54,0)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4"/>
        <v>105000</v>
      </c>
      <c r="K1883" t="e">
        <f>VLOOKUP(B1883,'REGISTRO ABONOS'!$B$8:$BC$10012,54,0)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4"/>
        <v>105000</v>
      </c>
      <c r="K1884" t="e">
        <f>VLOOKUP(B1884,'REGISTRO ABONOS'!$B$8:$BC$10012,54,0)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J1885">
        <f t="shared" si="34"/>
        <v>105000</v>
      </c>
      <c r="K1885" t="e">
        <f>VLOOKUP(B1885,'REGISTRO ABONOS'!$B$8:$BC$10012,54,0)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4"/>
        <v>105000</v>
      </c>
      <c r="K1886" t="e">
        <f>VLOOKUP(B1886,'REGISTRO ABONOS'!$B$8:$BC$10012,54,0)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4"/>
        <v>105000</v>
      </c>
      <c r="K1887" t="e">
        <f>VLOOKUP(B1887,'REGISTRO ABONOS'!$B$8:$BC$10012,54,0)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4"/>
        <v>105000</v>
      </c>
      <c r="K1888" t="e">
        <f>VLOOKUP(B1888,'REGISTRO ABONOS'!$B$8:$BC$10012,54,0)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4"/>
        <v>105000</v>
      </c>
      <c r="K1889" t="e">
        <f>VLOOKUP(B1889,'REGISTRO ABONOS'!$B$8:$BC$10012,54,0)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4"/>
        <v>105000</v>
      </c>
      <c r="K1890" t="e">
        <f>VLOOKUP(B1890,'REGISTRO ABONOS'!$B$8:$BC$10012,54,0)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4"/>
        <v>105000</v>
      </c>
      <c r="K1891" t="e">
        <f>VLOOKUP(B1891,'REGISTRO ABONOS'!$B$8:$BC$10012,54,0)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4"/>
        <v>105000</v>
      </c>
      <c r="K1892" t="e">
        <f>VLOOKUP(B1892,'REGISTRO ABONOS'!$B$8:$BC$10012,54,0)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J1893">
        <f t="shared" si="34"/>
        <v>105000</v>
      </c>
      <c r="K1893" t="e">
        <f>VLOOKUP(B1893,'REGISTRO ABONOS'!$B$8:$BC$10012,54,0)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4"/>
        <v>105000</v>
      </c>
      <c r="K1894" t="e">
        <f>VLOOKUP(B1894,'REGISTRO ABONOS'!$B$8:$BC$10012,54,0)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J1895">
        <f t="shared" si="34"/>
        <v>105000</v>
      </c>
      <c r="K1895" t="e">
        <f>VLOOKUP(B1895,'REGISTRO ABONOS'!$B$8:$BC$10012,54,0)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4"/>
        <v>105000</v>
      </c>
      <c r="K1896" t="e">
        <f>VLOOKUP(B1896,'REGISTRO ABONOS'!$B$8:$BC$10012,54,0)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4"/>
        <v>105000</v>
      </c>
      <c r="K1897" t="e">
        <f>VLOOKUP(B1897,'REGISTRO ABONOS'!$B$8:$BC$10012,54,0)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4"/>
        <v>105000</v>
      </c>
      <c r="K1898" t="e">
        <f>VLOOKUP(B1898,'REGISTRO ABONOS'!$B$8:$BC$10012,54,0)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J1899">
        <f t="shared" si="34"/>
        <v>105000</v>
      </c>
      <c r="K1899" t="e">
        <f>VLOOKUP(B1899,'REGISTRO ABONOS'!$B$8:$BC$10012,54,0)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J1900">
        <f t="shared" si="34"/>
        <v>105000</v>
      </c>
      <c r="K1900" t="e">
        <f>VLOOKUP(B1900,'REGISTRO ABONOS'!$B$8:$BC$10012,54,0)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J1901">
        <f t="shared" si="34"/>
        <v>105000</v>
      </c>
      <c r="K1901" t="e">
        <f>VLOOKUP(B1901,'REGISTRO ABONOS'!$B$8:$BC$10012,54,0)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J1902">
        <f t="shared" si="34"/>
        <v>105000</v>
      </c>
      <c r="K1902" t="e">
        <f>VLOOKUP(B1902,'REGISTRO ABONOS'!$B$8:$BC$10012,54,0)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4"/>
        <v>105000</v>
      </c>
      <c r="K1903" t="e">
        <f>VLOOKUP(B1903,'REGISTRO ABONOS'!$B$8:$BC$10012,54,0)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J1904">
        <f t="shared" si="34"/>
        <v>105000</v>
      </c>
      <c r="K1904" t="e">
        <f>VLOOKUP(B1904,'REGISTRO ABONOS'!$B$8:$BC$10012,54,0)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4"/>
        <v>105000</v>
      </c>
      <c r="K1905" t="e">
        <f>VLOOKUP(B1905,'REGISTRO ABONOS'!$B$8:$BC$10012,54,0)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4"/>
        <v>105000</v>
      </c>
      <c r="K1906" t="e">
        <f>VLOOKUP(B1906,'REGISTRO ABONOS'!$B$8:$BC$10012,54,0)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4"/>
        <v>105000</v>
      </c>
      <c r="K1907" t="e">
        <f>VLOOKUP(B1907,'REGISTRO ABONOS'!$B$8:$BC$10012,54,0)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J1908">
        <f t="shared" si="34"/>
        <v>105000</v>
      </c>
      <c r="K1908" t="e">
        <f>VLOOKUP(B1908,'REGISTRO ABONOS'!$B$8:$BC$10012,54,0)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4"/>
        <v>105000</v>
      </c>
      <c r="K1909" t="e">
        <f>VLOOKUP(B1909,'REGISTRO ABONOS'!$B$8:$BC$10012,54,0)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J1910">
        <f t="shared" si="34"/>
        <v>105000</v>
      </c>
      <c r="K1910" t="e">
        <f>VLOOKUP(B1910,'REGISTRO ABONOS'!$B$8:$BC$10012,54,0)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4"/>
        <v>105000</v>
      </c>
      <c r="K1911" t="e">
        <f>VLOOKUP(B1911,'REGISTRO ABONOS'!$B$8:$BC$10012,54,0)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J1912">
        <f t="shared" si="34"/>
        <v>105000</v>
      </c>
      <c r="K1912" t="e">
        <f>VLOOKUP(B1912,'REGISTRO ABONOS'!$B$8:$BC$10012,54,0)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J1913">
        <f t="shared" si="34"/>
        <v>105000</v>
      </c>
      <c r="K1913" t="e">
        <f>VLOOKUP(B1913,'REGISTRO ABONOS'!$B$8:$BC$10012,54,0)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4"/>
        <v>105000</v>
      </c>
      <c r="K1914" t="e">
        <f>VLOOKUP(B1914,'REGISTRO ABONOS'!$B$8:$BC$10012,54,0)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4"/>
        <v>105000</v>
      </c>
      <c r="K1915" t="e">
        <f>VLOOKUP(B1915,'REGISTRO ABONOS'!$B$8:$BC$10012,54,0)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ABONOS'!$B$8:$BC$10012,54,0)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5"/>
        <v>105000</v>
      </c>
      <c r="K1917" t="e">
        <f>VLOOKUP(B1917,'REGISTRO ABONOS'!$B$8:$BC$10012,54,0)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J1918">
        <f t="shared" si="35"/>
        <v>105000</v>
      </c>
      <c r="K1918" t="e">
        <f>VLOOKUP(B1918,'REGISTRO ABONOS'!$B$8:$BC$10012,54,0)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5"/>
        <v>105000</v>
      </c>
      <c r="K1919" t="e">
        <f>VLOOKUP(B1919,'REGISTRO ABONOS'!$B$8:$BC$10012,54,0)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5"/>
        <v>105000</v>
      </c>
      <c r="K1920" t="e">
        <f>VLOOKUP(B1920,'REGISTRO ABONOS'!$B$8:$BC$10012,54,0)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5"/>
        <v>105000</v>
      </c>
      <c r="K1921" t="e">
        <f>VLOOKUP(B1921,'REGISTRO ABONOS'!$B$8:$BC$10012,54,0)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5"/>
        <v>105000</v>
      </c>
      <c r="K1922" t="e">
        <f>VLOOKUP(B1922,'REGISTRO ABONOS'!$B$8:$BC$10012,54,0)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J1923">
        <f t="shared" si="35"/>
        <v>105000</v>
      </c>
      <c r="K1923" t="e">
        <f>VLOOKUP(B1923,'REGISTRO ABONOS'!$B$8:$BC$10012,54,0)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J1924">
        <f t="shared" si="35"/>
        <v>105000</v>
      </c>
      <c r="K1924" t="e">
        <f>VLOOKUP(B1924,'REGISTRO ABONOS'!$B$8:$BC$10012,54,0)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J1925">
        <f t="shared" si="35"/>
        <v>105000</v>
      </c>
      <c r="K1925" t="e">
        <f>VLOOKUP(B1925,'REGISTRO ABONOS'!$B$8:$BC$10012,54,0)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J1926">
        <f t="shared" si="35"/>
        <v>105000</v>
      </c>
      <c r="K1926" t="e">
        <f>VLOOKUP(B1926,'REGISTRO ABONOS'!$B$8:$BC$10012,54,0)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J1927">
        <f t="shared" si="35"/>
        <v>105000</v>
      </c>
      <c r="K1927" t="e">
        <f>VLOOKUP(B1927,'REGISTRO ABONOS'!$B$8:$BC$10012,54,0)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J1928">
        <f t="shared" si="35"/>
        <v>105000</v>
      </c>
      <c r="K1928" t="e">
        <f>VLOOKUP(B1928,'REGISTRO ABONOS'!$B$8:$BC$10012,54,0)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J1929">
        <f t="shared" si="35"/>
        <v>105000</v>
      </c>
      <c r="K1929" t="e">
        <f>VLOOKUP(B1929,'REGISTRO ABONOS'!$B$8:$BC$10012,54,0)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J1930">
        <f t="shared" si="35"/>
        <v>105000</v>
      </c>
      <c r="K1930" t="e">
        <f>VLOOKUP(B1930,'REGISTRO ABONOS'!$B$8:$BC$10012,54,0)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J1931">
        <f t="shared" si="35"/>
        <v>105000</v>
      </c>
      <c r="K1931" t="e">
        <f>VLOOKUP(B1931,'REGISTRO ABONOS'!$B$8:$BC$10012,54,0)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J1932">
        <f t="shared" si="35"/>
        <v>105000</v>
      </c>
      <c r="K1932" t="e">
        <f>VLOOKUP(B1932,'REGISTRO ABONOS'!$B$8:$BC$10012,54,0)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J1933">
        <f t="shared" si="35"/>
        <v>105000</v>
      </c>
      <c r="K1933" t="e">
        <f>VLOOKUP(B1933,'REGISTRO ABONOS'!$B$8:$BC$10012,54,0)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5"/>
        <v>105000</v>
      </c>
      <c r="K1934" t="e">
        <f>VLOOKUP(B1934,'REGISTRO ABONOS'!$B$8:$BC$10012,54,0)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5"/>
        <v>105000</v>
      </c>
      <c r="K1935" t="e">
        <f>VLOOKUP(B1935,'REGISTRO ABONOS'!$B$8:$BC$10012,54,0)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J1936">
        <f t="shared" si="35"/>
        <v>105000</v>
      </c>
      <c r="K1936" t="e">
        <f>VLOOKUP(B1936,'REGISTRO ABONOS'!$B$8:$BC$10012,54,0)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J1937">
        <f t="shared" si="35"/>
        <v>105000</v>
      </c>
      <c r="K1937" t="e">
        <f>VLOOKUP(B1937,'REGISTRO ABONOS'!$B$8:$BC$10012,54,0)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J1938">
        <f t="shared" si="35"/>
        <v>105000</v>
      </c>
      <c r="K1938" t="e">
        <f>VLOOKUP(B1938,'REGISTRO ABONOS'!$B$8:$BC$10012,54,0)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J1939">
        <f t="shared" si="35"/>
        <v>105000</v>
      </c>
      <c r="K1939" t="e">
        <f>VLOOKUP(B1939,'REGISTRO ABONOS'!$B$8:$BC$10012,54,0)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5"/>
        <v>105000</v>
      </c>
      <c r="K1940" t="e">
        <f>VLOOKUP(B1940,'REGISTRO ABONOS'!$B$8:$BC$10012,54,0)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J1941">
        <f t="shared" si="35"/>
        <v>105000</v>
      </c>
      <c r="K1941" t="e">
        <f>VLOOKUP(B1941,'REGISTRO ABONOS'!$B$8:$BC$10012,54,0)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J1942">
        <f t="shared" si="35"/>
        <v>105000</v>
      </c>
      <c r="K1942" t="e">
        <f>VLOOKUP(B1942,'REGISTRO ABONOS'!$B$8:$BC$10012,54,0)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5"/>
        <v>105000</v>
      </c>
      <c r="K1943" t="e">
        <f>VLOOKUP(B1943,'REGISTRO ABONOS'!$B$8:$BC$10012,54,0)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J1944">
        <f t="shared" si="35"/>
        <v>105000</v>
      </c>
      <c r="K1944" t="e">
        <f>VLOOKUP(B1944,'REGISTRO ABONOS'!$B$8:$BC$10012,54,0)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ABONOS'!$B$8:$BC$10012,54,0)</f>
        <v>55000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5"/>
        <v>105000</v>
      </c>
      <c r="K1946" t="e">
        <f>VLOOKUP(B1946,'REGISTRO ABONOS'!$B$8:$BC$10012,54,0)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J1947">
        <f t="shared" si="35"/>
        <v>105000</v>
      </c>
      <c r="K1947" t="e">
        <f>VLOOKUP(B1947,'REGISTRO ABONOS'!$B$8:$BC$10012,54,0)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5"/>
        <v>105000</v>
      </c>
      <c r="K1948" t="e">
        <f>VLOOKUP(B1948,'REGISTRO ABONOS'!$B$8:$BC$10012,54,0)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J1949">
        <f t="shared" si="35"/>
        <v>105000</v>
      </c>
      <c r="K1949" t="e">
        <f>VLOOKUP(B1949,'REGISTRO ABONOS'!$B$8:$BC$10012,54,0)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J1950">
        <f t="shared" si="35"/>
        <v>105000</v>
      </c>
      <c r="K1950" t="e">
        <f>VLOOKUP(B1950,'REGISTRO ABONOS'!$B$8:$BC$10012,54,0)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J1951">
        <f t="shared" si="35"/>
        <v>105000</v>
      </c>
      <c r="K1951" t="e">
        <f>VLOOKUP(B1951,'REGISTRO ABONOS'!$B$8:$BC$10012,54,0)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J1952">
        <f t="shared" si="35"/>
        <v>105000</v>
      </c>
      <c r="K1952" t="e">
        <f>VLOOKUP(B1952,'REGISTRO ABONOS'!$B$8:$BC$10012,54,0)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J1953">
        <f t="shared" si="35"/>
        <v>105000</v>
      </c>
      <c r="K1953" t="e">
        <f>VLOOKUP(B1953,'REGISTRO ABONOS'!$B$8:$BC$10012,54,0)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J1954">
        <f t="shared" si="35"/>
        <v>105000</v>
      </c>
      <c r="K1954" t="e">
        <f>VLOOKUP(B1954,'REGISTRO ABONOS'!$B$8:$BC$10012,54,0)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5"/>
        <v>105000</v>
      </c>
      <c r="K1955" t="e">
        <f>VLOOKUP(B1955,'REGISTRO ABONOS'!$B$8:$BC$10012,54,0)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5"/>
        <v>105000</v>
      </c>
      <c r="K1956" t="e">
        <f>VLOOKUP(B1956,'REGISTRO ABONOS'!$B$8:$BC$10012,54,0)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J1957">
        <f t="shared" si="35"/>
        <v>105000</v>
      </c>
      <c r="K1957" t="e">
        <f>VLOOKUP(B1957,'REGISTRO ABONOS'!$B$8:$BC$10012,54,0)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J1958">
        <f t="shared" si="35"/>
        <v>105000</v>
      </c>
      <c r="K1958" t="e">
        <f>VLOOKUP(B1958,'REGISTRO ABONOS'!$B$8:$BC$10012,54,0)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5"/>
        <v>105000</v>
      </c>
      <c r="K1959" t="e">
        <f>VLOOKUP(B1959,'REGISTRO ABONOS'!$B$8:$BC$10012,54,0)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5"/>
        <v>105000</v>
      </c>
      <c r="K1960" t="e">
        <f>VLOOKUP(B1960,'REGISTRO ABONOS'!$B$8:$BC$10012,54,0)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J1961">
        <f t="shared" si="35"/>
        <v>105000</v>
      </c>
      <c r="K1961" t="e">
        <f>VLOOKUP(B1961,'REGISTRO ABONOS'!$B$8:$BC$10012,54,0)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J1962">
        <f t="shared" si="35"/>
        <v>105000</v>
      </c>
      <c r="K1962" t="e">
        <f>VLOOKUP(B1962,'REGISTRO ABONOS'!$B$8:$BC$10012,54,0)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J1963">
        <f t="shared" si="35"/>
        <v>105000</v>
      </c>
      <c r="K1963" t="e">
        <f>VLOOKUP(B1963,'REGISTRO ABONOS'!$B$8:$BC$10012,54,0)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J1964">
        <f t="shared" si="35"/>
        <v>105000</v>
      </c>
      <c r="K1964" t="e">
        <f>VLOOKUP(B1964,'REGISTRO ABONOS'!$B$8:$BC$10012,54,0)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J1965">
        <f t="shared" si="35"/>
        <v>105000</v>
      </c>
      <c r="K1965" t="e">
        <f>VLOOKUP(B1965,'REGISTRO ABONOS'!$B$8:$BC$10012,54,0)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J1966">
        <f t="shared" si="35"/>
        <v>105000</v>
      </c>
      <c r="K1966" t="e">
        <f>VLOOKUP(B1966,'REGISTRO ABONOS'!$B$8:$BC$10012,54,0)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J1967">
        <f t="shared" si="35"/>
        <v>105000</v>
      </c>
      <c r="K1967" t="e">
        <f>VLOOKUP(B1967,'REGISTRO ABONOS'!$B$8:$BC$10012,54,0)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J1968">
        <f t="shared" si="35"/>
        <v>105000</v>
      </c>
      <c r="K1968" t="e">
        <f>VLOOKUP(B1968,'REGISTRO ABONOS'!$B$8:$BC$10012,54,0)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J1969">
        <f t="shared" si="35"/>
        <v>105000</v>
      </c>
      <c r="K1969" t="e">
        <f>VLOOKUP(B1969,'REGISTRO ABONOS'!$B$8:$BC$10012,54,0)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5"/>
        <v>105000</v>
      </c>
      <c r="K1970" t="e">
        <f>VLOOKUP(B1970,'REGISTRO ABONOS'!$B$8:$BC$10012,54,0)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5"/>
        <v>105000</v>
      </c>
      <c r="K1971" t="e">
        <f>VLOOKUP(B1971,'REGISTRO ABONOS'!$B$8:$BC$10012,54,0)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J1972">
        <f t="shared" si="35"/>
        <v>105000</v>
      </c>
      <c r="K1972" t="e">
        <f>VLOOKUP(B1972,'REGISTRO ABONOS'!$B$8:$BC$10012,54,0)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5"/>
        <v>105000</v>
      </c>
      <c r="K1973" t="e">
        <f>VLOOKUP(B1973,'REGISTRO ABONOS'!$B$8:$BC$10012,54,0)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ABONOS'!$B$8:$BC$10012,54,0)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J1975">
        <f t="shared" si="35"/>
        <v>105000</v>
      </c>
      <c r="K1975" t="e">
        <f>VLOOKUP(B1975,'REGISTRO ABONOS'!$B$8:$BC$10012,54,0)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J1976">
        <f t="shared" si="35"/>
        <v>105000</v>
      </c>
      <c r="K1976" t="e">
        <f>VLOOKUP(B1976,'REGISTRO ABONOS'!$B$8:$BC$10012,54,0)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5"/>
        <v>105000</v>
      </c>
      <c r="K1977" t="e">
        <f>VLOOKUP(B1977,'REGISTRO ABONOS'!$B$8:$BC$10012,54,0)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J1978">
        <f t="shared" si="35"/>
        <v>105000</v>
      </c>
      <c r="K1978" t="e">
        <f>VLOOKUP(B1978,'REGISTRO ABONOS'!$B$8:$BC$10012,54,0)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J1979">
        <f t="shared" si="35"/>
        <v>105000</v>
      </c>
      <c r="K1979" t="e">
        <f>VLOOKUP(B1979,'REGISTRO ABONOS'!$B$8:$BC$10012,54,0)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ABONOS'!$B$8:$BC$10012,54,0)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J1981">
        <f t="shared" si="36"/>
        <v>105000</v>
      </c>
      <c r="K1981" t="e">
        <f>VLOOKUP(B1981,'REGISTRO ABONOS'!$B$8:$BC$10012,54,0)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J1982">
        <f t="shared" si="36"/>
        <v>105000</v>
      </c>
      <c r="K1982" t="e">
        <f>VLOOKUP(B1982,'REGISTRO ABONOS'!$B$8:$BC$10012,54,0)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6"/>
        <v>105000</v>
      </c>
      <c r="K1983" t="e">
        <f>VLOOKUP(B1983,'REGISTRO ABONOS'!$B$8:$BC$10012,54,0)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J1984">
        <f t="shared" si="36"/>
        <v>105000</v>
      </c>
      <c r="K1984" t="e">
        <f>VLOOKUP(B1984,'REGISTRO ABONOS'!$B$8:$BC$10012,54,0)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J1985">
        <f t="shared" si="36"/>
        <v>105000</v>
      </c>
      <c r="K1985" t="e">
        <f>VLOOKUP(B1985,'REGISTRO ABONOS'!$B$8:$BC$10012,54,0)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J1986">
        <f t="shared" si="36"/>
        <v>105000</v>
      </c>
      <c r="K1986" t="e">
        <f>VLOOKUP(B1986,'REGISTRO ABONOS'!$B$8:$BC$10012,54,0)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6"/>
        <v>105000</v>
      </c>
      <c r="K1987" t="e">
        <f>VLOOKUP(B1987,'REGISTRO ABONOS'!$B$8:$BC$10012,54,0)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J1988">
        <f t="shared" si="36"/>
        <v>105000</v>
      </c>
      <c r="K1988" t="e">
        <f>VLOOKUP(B1988,'REGISTRO ABONOS'!$B$8:$BC$10012,54,0)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J1989">
        <f t="shared" si="36"/>
        <v>105000</v>
      </c>
      <c r="K1989" t="e">
        <f>VLOOKUP(B1989,'REGISTRO ABONOS'!$B$8:$BC$10012,54,0)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J1990">
        <f t="shared" si="36"/>
        <v>105000</v>
      </c>
      <c r="K1990" t="e">
        <f>VLOOKUP(B1990,'REGISTRO ABONOS'!$B$8:$BC$10012,54,0)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J1991">
        <f t="shared" si="36"/>
        <v>105000</v>
      </c>
      <c r="K1991" t="e">
        <f>VLOOKUP(B1991,'REGISTRO ABONOS'!$B$8:$BC$10012,54,0)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6"/>
        <v>105000</v>
      </c>
      <c r="K1992" t="e">
        <f>VLOOKUP(B1992,'REGISTRO ABONOS'!$B$8:$BC$10012,54,0)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J1993">
        <f t="shared" si="36"/>
        <v>105000</v>
      </c>
      <c r="K1993" t="e">
        <f>VLOOKUP(B1993,'REGISTRO ABONOS'!$B$8:$BC$10012,54,0)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J1994">
        <f t="shared" si="36"/>
        <v>105000</v>
      </c>
      <c r="K1994" t="e">
        <f>VLOOKUP(B1994,'REGISTRO ABONOS'!$B$8:$BC$10012,54,0)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6"/>
        <v>105000</v>
      </c>
      <c r="K1995" t="e">
        <f>VLOOKUP(B1995,'REGISTRO ABONOS'!$B$8:$BC$10012,54,0)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6"/>
        <v>105000</v>
      </c>
      <c r="K1996" t="e">
        <f>VLOOKUP(B1996,'REGISTRO ABONOS'!$B$8:$BC$10012,54,0)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6"/>
        <v>105000</v>
      </c>
      <c r="K1997" t="e">
        <f>VLOOKUP(B1997,'REGISTRO ABONOS'!$B$8:$BC$10012,54,0)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J1998">
        <f t="shared" si="36"/>
        <v>105000</v>
      </c>
      <c r="K1998" t="e">
        <f>VLOOKUP(B1998,'REGISTRO ABONOS'!$B$8:$BC$10012,54,0)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6"/>
        <v>105000</v>
      </c>
      <c r="K1999" t="e">
        <f>VLOOKUP(B1999,'REGISTRO ABONOS'!$B$8:$BC$10012,54,0)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J2000">
        <f t="shared" si="36"/>
        <v>105000</v>
      </c>
      <c r="K2000" t="e">
        <f>VLOOKUP(B2000,'REGISTRO ABONOS'!$B$8:$BC$10012,54,0)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J2001">
        <f t="shared" si="36"/>
        <v>105000</v>
      </c>
      <c r="K2001" t="e">
        <f>VLOOKUP(B2001,'REGISTRO ABONOS'!$B$8:$BC$10012,54,0)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6"/>
        <v>105000</v>
      </c>
      <c r="K2002" t="e">
        <f>VLOOKUP(B2002,'REGISTRO ABONOS'!$B$8:$BC$10012,54,0)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6"/>
        <v>105000</v>
      </c>
      <c r="K2003" t="e">
        <f>VLOOKUP(B2003,'REGISTRO ABONOS'!$B$8:$BC$10012,54,0)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6"/>
        <v>105000</v>
      </c>
      <c r="K2004" t="e">
        <f>VLOOKUP(B2004,'REGISTRO ABONOS'!$B$8:$BC$10012,54,0)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J2005">
        <f t="shared" si="36"/>
        <v>105000</v>
      </c>
      <c r="K2005" t="e">
        <f>VLOOKUP(B2005,'REGISTRO ABONOS'!$B$8:$BC$10012,54,0)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J2006">
        <f t="shared" si="36"/>
        <v>105000</v>
      </c>
      <c r="K2006" t="e">
        <f>VLOOKUP(B2006,'REGISTRO ABONOS'!$B$8:$BC$10012,54,0)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J2007">
        <f t="shared" si="36"/>
        <v>105000</v>
      </c>
      <c r="K2007" t="e">
        <f>VLOOKUP(B2007,'REGISTRO ABONOS'!$B$8:$BC$10012,54,0)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6"/>
        <v>105000</v>
      </c>
      <c r="K2008" t="e">
        <f>VLOOKUP(B2008,'REGISTRO ABONOS'!$B$8:$BC$10012,54,0)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6"/>
        <v>105000</v>
      </c>
      <c r="K2009" t="e">
        <f>VLOOKUP(B2009,'REGISTRO ABONOS'!$B$8:$BC$10012,54,0)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6"/>
        <v>105000</v>
      </c>
      <c r="K2010" t="e">
        <f>VLOOKUP(B2010,'REGISTRO ABONOS'!$B$8:$BC$10012,54,0)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J2011">
        <f t="shared" si="36"/>
        <v>105000</v>
      </c>
      <c r="K2011" t="e">
        <f>VLOOKUP(B2011,'REGISTRO ABONOS'!$B$8:$BC$10012,54,0)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J2012">
        <f t="shared" si="36"/>
        <v>105000</v>
      </c>
      <c r="K2012" t="e">
        <f>VLOOKUP(B2012,'REGISTRO ABONOS'!$B$8:$BC$10012,54,0)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J2013">
        <f t="shared" si="36"/>
        <v>105000</v>
      </c>
      <c r="K2013" t="e">
        <f>VLOOKUP(B2013,'REGISTRO ABONOS'!$B$8:$BC$10012,54,0)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6"/>
        <v>105000</v>
      </c>
      <c r="K2014" t="e">
        <f>VLOOKUP(B2014,'REGISTRO ABONOS'!$B$8:$BC$10012,54,0)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6"/>
        <v>105000</v>
      </c>
      <c r="K2015" t="e">
        <f>VLOOKUP(B2015,'REGISTRO ABONOS'!$B$8:$BC$10012,54,0)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6"/>
        <v>105000</v>
      </c>
      <c r="K2016" t="e">
        <f>VLOOKUP(B2016,'REGISTRO ABONOS'!$B$8:$BC$10012,54,0)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6"/>
        <v>105000</v>
      </c>
      <c r="K2017" t="e">
        <f>VLOOKUP(B2017,'REGISTRO ABONOS'!$B$8:$BC$10012,54,0)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6"/>
        <v>105000</v>
      </c>
      <c r="K2018" t="e">
        <f>VLOOKUP(B2018,'REGISTRO ABONOS'!$B$8:$BC$10012,54,0)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6"/>
        <v>105000</v>
      </c>
      <c r="K2019" t="e">
        <f>VLOOKUP(B2019,'REGISTRO ABONOS'!$B$8:$BC$10012,54,0)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J2020">
        <f t="shared" si="36"/>
        <v>105000</v>
      </c>
      <c r="K2020" t="e">
        <f>VLOOKUP(B2020,'REGISTRO ABONOS'!$B$8:$BC$10012,54,0)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J2021">
        <f t="shared" si="36"/>
        <v>105000</v>
      </c>
      <c r="K2021" t="e">
        <f>VLOOKUP(B2021,'REGISTRO ABONOS'!$B$8:$BC$10012,54,0)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J2022">
        <f t="shared" si="36"/>
        <v>105000</v>
      </c>
      <c r="K2022" t="e">
        <f>VLOOKUP(B2022,'REGISTRO ABONOS'!$B$8:$BC$10012,54,0)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6"/>
        <v>105000</v>
      </c>
      <c r="K2023" t="e">
        <f>VLOOKUP(B2023,'REGISTRO ABONOS'!$B$8:$BC$10012,54,0)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6"/>
        <v>105000</v>
      </c>
      <c r="K2024" t="e">
        <f>VLOOKUP(B2024,'REGISTRO ABONOS'!$B$8:$BC$10012,54,0)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6"/>
        <v>105000</v>
      </c>
      <c r="K2025" t="e">
        <f>VLOOKUP(B2025,'REGISTRO ABONOS'!$B$8:$BC$10012,54,0)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6"/>
        <v>105000</v>
      </c>
      <c r="K2026" t="e">
        <f>VLOOKUP(B2026,'REGISTRO ABONOS'!$B$8:$BC$10012,54,0)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6"/>
        <v>105000</v>
      </c>
      <c r="K2027" t="e">
        <f>VLOOKUP(B2027,'REGISTRO ABONOS'!$B$8:$BC$10012,54,0)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J2028">
        <f t="shared" si="36"/>
        <v>105000</v>
      </c>
      <c r="K2028" t="e">
        <f>VLOOKUP(B2028,'REGISTRO ABONOS'!$B$8:$BC$10012,54,0)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6"/>
        <v>105000</v>
      </c>
      <c r="K2029" t="e">
        <f>VLOOKUP(B2029,'REGISTRO ABONOS'!$B$8:$BC$10012,54,0)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J2030">
        <f t="shared" si="36"/>
        <v>105000</v>
      </c>
      <c r="K2030" t="e">
        <f>VLOOKUP(B2030,'REGISTRO ABONOS'!$B$8:$BC$10012,54,0)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J2031">
        <f t="shared" si="36"/>
        <v>105000</v>
      </c>
      <c r="K2031" t="e">
        <f>VLOOKUP(B2031,'REGISTRO ABONOS'!$B$8:$BC$10012,54,0)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6"/>
        <v>105000</v>
      </c>
      <c r="K2032" t="e">
        <f>VLOOKUP(B2032,'REGISTRO ABONOS'!$B$8:$BC$10012,54,0)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J2033">
        <f t="shared" si="36"/>
        <v>105000</v>
      </c>
      <c r="K2033" t="e">
        <f>VLOOKUP(B2033,'REGISTRO ABONOS'!$B$8:$BC$10012,54,0)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6"/>
        <v>105000</v>
      </c>
      <c r="K2034" t="e">
        <f>VLOOKUP(B2034,'REGISTRO ABONOS'!$B$8:$BC$10012,54,0)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J2035">
        <f t="shared" si="36"/>
        <v>105000</v>
      </c>
      <c r="K2035" t="e">
        <f>VLOOKUP(B2035,'REGISTRO ABONOS'!$B$8:$BC$10012,54,0)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6"/>
        <v>105000</v>
      </c>
      <c r="K2036" t="e">
        <f>VLOOKUP(B2036,'REGISTRO ABONOS'!$B$8:$BC$10012,54,0)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6"/>
        <v>105000</v>
      </c>
      <c r="K2037" t="e">
        <f>VLOOKUP(B2037,'REGISTRO ABONOS'!$B$8:$BC$10012,54,0)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6"/>
        <v>105000</v>
      </c>
      <c r="K2038" t="e">
        <f>VLOOKUP(B2038,'REGISTRO ABONOS'!$B$8:$BC$10012,54,0)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6"/>
        <v>105000</v>
      </c>
      <c r="K2039" t="e">
        <f>VLOOKUP(B2039,'REGISTRO ABONOS'!$B$8:$BC$10012,54,0)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6"/>
        <v>105000</v>
      </c>
      <c r="K2040" t="e">
        <f>VLOOKUP(B2040,'REGISTRO ABONOS'!$B$8:$BC$10012,54,0)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6"/>
        <v>105000</v>
      </c>
      <c r="K2041" t="e">
        <f>VLOOKUP(B2041,'REGISTRO ABONOS'!$B$8:$BC$10012,54,0)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6"/>
        <v>105000</v>
      </c>
      <c r="K2042" t="e">
        <f>VLOOKUP(B2042,'REGISTRO ABONOS'!$B$8:$BC$10012,54,0)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6"/>
        <v>105000</v>
      </c>
      <c r="K2043" t="e">
        <f>VLOOKUP(B2043,'REGISTRO ABONOS'!$B$8:$BC$10012,54,0)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ABONOS'!$B$8:$BC$10012,54,0)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7"/>
        <v>105000</v>
      </c>
      <c r="K2045" t="e">
        <f>VLOOKUP(B2045,'REGISTRO ABONOS'!$B$8:$BC$10012,54,0)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7"/>
        <v>105000</v>
      </c>
      <c r="K2046" t="e">
        <f>VLOOKUP(B2046,'REGISTRO ABONOS'!$B$8:$BC$10012,54,0)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7"/>
        <v>105000</v>
      </c>
      <c r="K2047" t="e">
        <f>VLOOKUP(B2047,'REGISTRO ABONOS'!$B$8:$BC$10012,54,0)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7"/>
        <v>105000</v>
      </c>
      <c r="K2048" t="e">
        <f>VLOOKUP(B2048,'REGISTRO ABONOS'!$B$8:$BC$10012,54,0)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7"/>
        <v>105000</v>
      </c>
      <c r="K2049" t="e">
        <f>VLOOKUP(B2049,'REGISTRO ABONOS'!$B$8:$BC$10012,54,0)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7"/>
        <v>105000</v>
      </c>
      <c r="K2050" t="e">
        <f>VLOOKUP(B2050,'REGISTRO ABONOS'!$B$8:$BC$10012,54,0)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7"/>
        <v>105000</v>
      </c>
      <c r="K2051" t="e">
        <f>VLOOKUP(B2051,'REGISTRO ABONOS'!$B$8:$BC$10012,54,0)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J2052">
        <f t="shared" si="37"/>
        <v>105000</v>
      </c>
      <c r="K2052" t="e">
        <f>VLOOKUP(B2052,'REGISTRO ABONOS'!$B$8:$BC$10012,54,0)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J2053">
        <f t="shared" si="37"/>
        <v>105000</v>
      </c>
      <c r="K2053" t="e">
        <f>VLOOKUP(B2053,'REGISTRO ABONOS'!$B$8:$BC$10012,54,0)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7"/>
        <v>105000</v>
      </c>
      <c r="K2054" t="e">
        <f>VLOOKUP(B2054,'REGISTRO ABONOS'!$B$8:$BC$10012,54,0)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J2055">
        <f t="shared" si="37"/>
        <v>105000</v>
      </c>
      <c r="K2055" t="e">
        <f>VLOOKUP(B2055,'REGISTRO ABONOS'!$B$8:$BC$10012,54,0)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7"/>
        <v>105000</v>
      </c>
      <c r="K2056" t="e">
        <f>VLOOKUP(B2056,'REGISTRO ABONOS'!$B$8:$BC$10012,54,0)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7"/>
        <v>105000</v>
      </c>
      <c r="K2057" t="e">
        <f>VLOOKUP(B2057,'REGISTRO ABONOS'!$B$8:$BC$10012,54,0)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7"/>
        <v>105000</v>
      </c>
      <c r="K2058" t="e">
        <f>VLOOKUP(B2058,'REGISTRO ABONOS'!$B$8:$BC$10012,54,0)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J2059">
        <f t="shared" si="37"/>
        <v>105000</v>
      </c>
      <c r="K2059" t="e">
        <f>VLOOKUP(B2059,'REGISTRO ABONOS'!$B$8:$BC$10012,54,0)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J2060">
        <f t="shared" si="37"/>
        <v>105000</v>
      </c>
      <c r="K2060" t="e">
        <f>VLOOKUP(B2060,'REGISTRO ABONOS'!$B$8:$BC$10012,54,0)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J2061">
        <f t="shared" si="37"/>
        <v>105000</v>
      </c>
      <c r="K2061" t="e">
        <f>VLOOKUP(B2061,'REGISTRO ABONOS'!$B$8:$BC$10012,54,0)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7"/>
        <v>105000</v>
      </c>
      <c r="K2062" t="e">
        <f>VLOOKUP(B2062,'REGISTRO ABONOS'!$B$8:$BC$10012,54,0)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7"/>
        <v>105000</v>
      </c>
      <c r="K2063" t="e">
        <f>VLOOKUP(B2063,'REGISTRO ABONOS'!$B$8:$BC$10012,54,0)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7"/>
        <v>105000</v>
      </c>
      <c r="K2064" t="e">
        <f>VLOOKUP(B2064,'REGISTRO ABONOS'!$B$8:$BC$10012,54,0)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J2065">
        <f t="shared" si="37"/>
        <v>105000</v>
      </c>
      <c r="K2065" t="e">
        <f>VLOOKUP(B2065,'REGISTRO ABONOS'!$B$8:$BC$10012,54,0)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7"/>
        <v>105000</v>
      </c>
      <c r="K2066" t="e">
        <f>VLOOKUP(B2066,'REGISTRO ABONOS'!$B$8:$BC$10012,54,0)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7"/>
        <v>105000</v>
      </c>
      <c r="K2067" t="e">
        <f>VLOOKUP(B2067,'REGISTRO ABONOS'!$B$8:$BC$10012,54,0)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7"/>
        <v>105000</v>
      </c>
      <c r="K2068" t="e">
        <f>VLOOKUP(B2068,'REGISTRO ABONOS'!$B$8:$BC$10012,54,0)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7"/>
        <v>105000</v>
      </c>
      <c r="K2069" t="e">
        <f>VLOOKUP(B2069,'REGISTRO ABONOS'!$B$8:$BC$10012,54,0)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7"/>
        <v>105000</v>
      </c>
      <c r="K2070" t="e">
        <f>VLOOKUP(B2070,'REGISTRO ABONOS'!$B$8:$BC$10012,54,0)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7"/>
        <v>105000</v>
      </c>
      <c r="K2071" t="e">
        <f>VLOOKUP(B2071,'REGISTRO ABONOS'!$B$8:$BC$10012,54,0)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7"/>
        <v>105000</v>
      </c>
      <c r="K2072" t="e">
        <f>VLOOKUP(B2072,'REGISTRO ABONOS'!$B$8:$BC$10012,54,0)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7"/>
        <v>105000</v>
      </c>
      <c r="K2073" t="e">
        <f>VLOOKUP(B2073,'REGISTRO ABONOS'!$B$8:$BC$10012,54,0)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J2074">
        <f t="shared" si="37"/>
        <v>105000</v>
      </c>
      <c r="K2074" t="e">
        <f>VLOOKUP(B2074,'REGISTRO ABONOS'!$B$8:$BC$10012,54,0)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7"/>
        <v>105000</v>
      </c>
      <c r="K2075" t="e">
        <f>VLOOKUP(B2075,'REGISTRO ABONOS'!$B$8:$BC$10012,54,0)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7"/>
        <v>105000</v>
      </c>
      <c r="K2076" t="e">
        <f>VLOOKUP(B2076,'REGISTRO ABONOS'!$B$8:$BC$10012,54,0)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7"/>
        <v>105000</v>
      </c>
      <c r="K2077" t="e">
        <f>VLOOKUP(B2077,'REGISTRO ABONOS'!$B$8:$BC$10012,54,0)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7"/>
        <v>105000</v>
      </c>
      <c r="K2078" t="e">
        <f>VLOOKUP(B2078,'REGISTRO ABONOS'!$B$8:$BC$10012,54,0)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7"/>
        <v>105000</v>
      </c>
      <c r="K2079" t="e">
        <f>VLOOKUP(B2079,'REGISTRO ABONOS'!$B$8:$BC$10012,54,0)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7"/>
        <v>105000</v>
      </c>
      <c r="K2080" t="e">
        <f>VLOOKUP(B2080,'REGISTRO ABONOS'!$B$8:$BC$10012,54,0)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7"/>
        <v>105000</v>
      </c>
      <c r="K2081" t="e">
        <f>VLOOKUP(B2081,'REGISTRO ABONOS'!$B$8:$BC$10012,54,0)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7"/>
        <v>105000</v>
      </c>
      <c r="K2082" t="e">
        <f>VLOOKUP(B2082,'REGISTRO ABONOS'!$B$8:$BC$10012,54,0)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J2083">
        <f t="shared" si="37"/>
        <v>105000</v>
      </c>
      <c r="K2083" t="e">
        <f>VLOOKUP(B2083,'REGISTRO ABONOS'!$B$8:$BC$10012,54,0)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7"/>
        <v>105000</v>
      </c>
      <c r="K2084" t="e">
        <f>VLOOKUP(B2084,'REGISTRO ABONOS'!$B$8:$BC$10012,54,0)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J2085">
        <f t="shared" si="37"/>
        <v>105000</v>
      </c>
      <c r="K2085" t="e">
        <f>VLOOKUP(B2085,'REGISTRO ABONOS'!$B$8:$BC$10012,54,0)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7"/>
        <v>105000</v>
      </c>
      <c r="K2086" t="e">
        <f>VLOOKUP(B2086,'REGISTRO ABONOS'!$B$8:$BC$10012,54,0)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7"/>
        <v>105000</v>
      </c>
      <c r="K2087" t="e">
        <f>VLOOKUP(B2087,'REGISTRO ABONOS'!$B$8:$BC$10012,54,0)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7"/>
        <v>105000</v>
      </c>
      <c r="K2088" t="e">
        <f>VLOOKUP(B2088,'REGISTRO ABONOS'!$B$8:$BC$10012,54,0)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7"/>
        <v>105000</v>
      </c>
      <c r="K2089" t="e">
        <f>VLOOKUP(B2089,'REGISTRO ABONOS'!$B$8:$BC$10012,54,0)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7"/>
        <v>105000</v>
      </c>
      <c r="K2090" t="e">
        <f>VLOOKUP(B2090,'REGISTRO ABONOS'!$B$8:$BC$10012,54,0)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7"/>
        <v>105000</v>
      </c>
      <c r="K2091" t="e">
        <f>VLOOKUP(B2091,'REGISTRO ABONOS'!$B$8:$BC$10012,54,0)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J2092">
        <f t="shared" si="37"/>
        <v>105000</v>
      </c>
      <c r="K2092" t="e">
        <f>VLOOKUP(B2092,'REGISTRO ABONOS'!$B$8:$BC$10012,54,0)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7"/>
        <v>105000</v>
      </c>
      <c r="K2093" t="e">
        <f>VLOOKUP(B2093,'REGISTRO ABONOS'!$B$8:$BC$10012,54,0)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J2094">
        <f t="shared" si="37"/>
        <v>105000</v>
      </c>
      <c r="K2094" t="e">
        <f>VLOOKUP(B2094,'REGISTRO ABONOS'!$B$8:$BC$10012,54,0)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J2095">
        <f t="shared" si="37"/>
        <v>105000</v>
      </c>
      <c r="K2095" t="e">
        <f>VLOOKUP(B2095,'REGISTRO ABONOS'!$B$8:$BC$10012,54,0)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7"/>
        <v>105000</v>
      </c>
      <c r="K2096" t="e">
        <f>VLOOKUP(B2096,'REGISTRO ABONOS'!$B$8:$BC$10012,54,0)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7"/>
        <v>105000</v>
      </c>
      <c r="K2097" t="e">
        <f>VLOOKUP(B2097,'REGISTRO ABONOS'!$B$8:$BC$10012,54,0)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7"/>
        <v>105000</v>
      </c>
      <c r="K2098" t="e">
        <f>VLOOKUP(B2098,'REGISTRO ABONOS'!$B$8:$BC$10012,54,0)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7"/>
        <v>105000</v>
      </c>
      <c r="K2099" t="e">
        <f>VLOOKUP(B2099,'REGISTRO ABONOS'!$B$8:$BC$10012,54,0)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7"/>
        <v>105000</v>
      </c>
      <c r="K2100" t="e">
        <f>VLOOKUP(B2100,'REGISTRO ABONOS'!$B$8:$BC$10012,54,0)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J2101">
        <f t="shared" si="37"/>
        <v>105000</v>
      </c>
      <c r="K2101" t="e">
        <f>VLOOKUP(B2101,'REGISTRO ABONOS'!$B$8:$BC$10012,54,0)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J2102">
        <f t="shared" si="37"/>
        <v>105000</v>
      </c>
      <c r="K2102" t="e">
        <f>VLOOKUP(B2102,'REGISTRO ABONOS'!$B$8:$BC$10012,54,0)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7"/>
        <v>105000</v>
      </c>
      <c r="K2103" t="e">
        <f>VLOOKUP(B2103,'REGISTRO ABONOS'!$B$8:$BC$10012,54,0)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J2104">
        <f t="shared" si="37"/>
        <v>105000</v>
      </c>
      <c r="K2104" t="e">
        <f>VLOOKUP(B2104,'REGISTRO ABONOS'!$B$8:$BC$10012,54,0)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7"/>
        <v>105000</v>
      </c>
      <c r="K2105" t="e">
        <f>VLOOKUP(B2105,'REGISTRO ABONOS'!$B$8:$BC$10012,54,0)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J2106">
        <f t="shared" si="37"/>
        <v>105000</v>
      </c>
      <c r="K2106" t="e">
        <f>VLOOKUP(B2106,'REGISTRO ABONOS'!$B$8:$BC$10012,54,0)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7"/>
        <v>105000</v>
      </c>
      <c r="K2107" t="e">
        <f>VLOOKUP(B2107,'REGISTRO ABONOS'!$B$8:$BC$10012,54,0)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ABONOS'!$B$8:$BC$10012,54,0)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8"/>
        <v>105000</v>
      </c>
      <c r="K2109" t="e">
        <f>VLOOKUP(B2109,'REGISTRO ABONOS'!$B$8:$BC$10012,54,0)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8"/>
        <v>105000</v>
      </c>
      <c r="K2110" t="e">
        <f>VLOOKUP(B2110,'REGISTRO ABONOS'!$B$8:$BC$10012,54,0)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8"/>
        <v>105000</v>
      </c>
      <c r="K2111" t="e">
        <f>VLOOKUP(B2111,'REGISTRO ABONOS'!$B$8:$BC$10012,54,0)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8"/>
        <v>105000</v>
      </c>
      <c r="K2112" t="e">
        <f>VLOOKUP(B2112,'REGISTRO ABONOS'!$B$8:$BC$10012,54,0)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8"/>
        <v>105000</v>
      </c>
      <c r="K2113" t="e">
        <f>VLOOKUP(B2113,'REGISTRO ABONOS'!$B$8:$BC$10012,54,0)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8"/>
        <v>105000</v>
      </c>
      <c r="K2114" t="e">
        <f>VLOOKUP(B2114,'REGISTRO ABONOS'!$B$8:$BC$10012,54,0)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8"/>
        <v>105000</v>
      </c>
      <c r="K2115" t="e">
        <f>VLOOKUP(B2115,'REGISTRO ABONOS'!$B$8:$BC$10012,54,0)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J2116">
        <f t="shared" si="38"/>
        <v>105000</v>
      </c>
      <c r="K2116" t="e">
        <f>VLOOKUP(B2116,'REGISTRO ABONOS'!$B$8:$BC$10012,54,0)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J2117">
        <f t="shared" si="38"/>
        <v>105000</v>
      </c>
      <c r="K2117" t="e">
        <f>VLOOKUP(B2117,'REGISTRO ABONOS'!$B$8:$BC$10012,54,0)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8"/>
        <v>105000</v>
      </c>
      <c r="K2118" t="e">
        <f>VLOOKUP(B2118,'REGISTRO ABONOS'!$B$8:$BC$10012,54,0)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8"/>
        <v>105000</v>
      </c>
      <c r="K2119" t="e">
        <f>VLOOKUP(B2119,'REGISTRO ABONOS'!$B$8:$BC$10012,54,0)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J2120">
        <f t="shared" si="38"/>
        <v>105000</v>
      </c>
      <c r="K2120" t="e">
        <f>VLOOKUP(B2120,'REGISTRO ABONOS'!$B$8:$BC$10012,54,0)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8"/>
        <v>105000</v>
      </c>
      <c r="K2121" t="e">
        <f>VLOOKUP(B2121,'REGISTRO ABONOS'!$B$8:$BC$10012,54,0)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J2122">
        <f t="shared" si="38"/>
        <v>105000</v>
      </c>
      <c r="K2122" t="e">
        <f>VLOOKUP(B2122,'REGISTRO ABONOS'!$B$8:$BC$10012,54,0)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8"/>
        <v>105000</v>
      </c>
      <c r="K2123" t="e">
        <f>VLOOKUP(B2123,'REGISTRO ABONOS'!$B$8:$BC$10012,54,0)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J2124">
        <f t="shared" si="38"/>
        <v>105000</v>
      </c>
      <c r="K2124" t="e">
        <f>VLOOKUP(B2124,'REGISTRO ABONOS'!$B$8:$BC$10012,54,0)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J2125">
        <f t="shared" si="38"/>
        <v>105000</v>
      </c>
      <c r="K2125" t="e">
        <f>VLOOKUP(B2125,'REGISTRO ABONOS'!$B$8:$BC$10012,54,0)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8"/>
        <v>105000</v>
      </c>
      <c r="K2126" t="e">
        <f>VLOOKUP(B2126,'REGISTRO ABONOS'!$B$8:$BC$10012,54,0)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8"/>
        <v>105000</v>
      </c>
      <c r="K2127" t="e">
        <f>VLOOKUP(B2127,'REGISTRO ABONOS'!$B$8:$BC$10012,54,0)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8"/>
        <v>105000</v>
      </c>
      <c r="K2128" t="e">
        <f>VLOOKUP(B2128,'REGISTRO ABONOS'!$B$8:$BC$10012,54,0)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8"/>
        <v>105000</v>
      </c>
      <c r="K2129" t="e">
        <f>VLOOKUP(B2129,'REGISTRO ABONOS'!$B$8:$BC$10012,54,0)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J2130">
        <f t="shared" si="38"/>
        <v>105000</v>
      </c>
      <c r="K2130" t="e">
        <f>VLOOKUP(B2130,'REGISTRO ABONOS'!$B$8:$BC$10012,54,0)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8"/>
        <v>105000</v>
      </c>
      <c r="K2131" t="e">
        <f>VLOOKUP(B2131,'REGISTRO ABONOS'!$B$8:$BC$10012,54,0)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8"/>
        <v>105000</v>
      </c>
      <c r="K2132" t="e">
        <f>VLOOKUP(B2132,'REGISTRO ABONOS'!$B$8:$BC$10012,54,0)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8"/>
        <v>105000</v>
      </c>
      <c r="K2133" t="e">
        <f>VLOOKUP(B2133,'REGISTRO ABONOS'!$B$8:$BC$10012,54,0)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8"/>
        <v>105000</v>
      </c>
      <c r="K2134" t="e">
        <f>VLOOKUP(B2134,'REGISTRO ABONOS'!$B$8:$BC$10012,54,0)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8"/>
        <v>105000</v>
      </c>
      <c r="K2135" t="e">
        <f>VLOOKUP(B2135,'REGISTRO ABONOS'!$B$8:$BC$10012,54,0)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8"/>
        <v>105000</v>
      </c>
      <c r="K2136" t="e">
        <f>VLOOKUP(B2136,'REGISTRO ABONOS'!$B$8:$BC$10012,54,0)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8"/>
        <v>105000</v>
      </c>
      <c r="K2137" t="e">
        <f>VLOOKUP(B2137,'REGISTRO ABONOS'!$B$8:$BC$10012,54,0)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8"/>
        <v>105000</v>
      </c>
      <c r="K2138" t="e">
        <f>VLOOKUP(B2138,'REGISTRO ABONOS'!$B$8:$BC$10012,54,0)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8"/>
        <v>105000</v>
      </c>
      <c r="K2139" t="e">
        <f>VLOOKUP(B2139,'REGISTRO ABONOS'!$B$8:$BC$10012,54,0)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J2140">
        <f t="shared" si="38"/>
        <v>105000</v>
      </c>
      <c r="K2140" t="e">
        <f>VLOOKUP(B2140,'REGISTRO ABONOS'!$B$8:$BC$10012,54,0)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8"/>
        <v>105000</v>
      </c>
      <c r="K2141" t="e">
        <f>VLOOKUP(B2141,'REGISTRO ABONOS'!$B$8:$BC$10012,54,0)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J2142">
        <f t="shared" si="38"/>
        <v>105000</v>
      </c>
      <c r="K2142" t="e">
        <f>VLOOKUP(B2142,'REGISTRO ABONOS'!$B$8:$BC$10012,54,0)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J2143">
        <f t="shared" si="38"/>
        <v>105000</v>
      </c>
      <c r="K2143" t="e">
        <f>VLOOKUP(B2143,'REGISTRO ABONOS'!$B$8:$BC$10012,54,0)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8"/>
        <v>105000</v>
      </c>
      <c r="K2144" t="e">
        <f>VLOOKUP(B2144,'REGISTRO ABONOS'!$B$8:$BC$10012,54,0)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8"/>
        <v>105000</v>
      </c>
      <c r="K2145" t="e">
        <f>VLOOKUP(B2145,'REGISTRO ABONOS'!$B$8:$BC$10012,54,0)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J2146">
        <f t="shared" si="38"/>
        <v>105000</v>
      </c>
      <c r="K2146" t="e">
        <f>VLOOKUP(B2146,'REGISTRO ABONOS'!$B$8:$BC$10012,54,0)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8"/>
        <v>105000</v>
      </c>
      <c r="K2147" t="e">
        <f>VLOOKUP(B2147,'REGISTRO ABONOS'!$B$8:$BC$10012,54,0)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8"/>
        <v>105000</v>
      </c>
      <c r="K2148" t="e">
        <f>VLOOKUP(B2148,'REGISTRO ABONOS'!$B$8:$BC$10012,54,0)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8"/>
        <v>105000</v>
      </c>
      <c r="K2149" t="e">
        <f>VLOOKUP(B2149,'REGISTRO ABONOS'!$B$8:$BC$10012,54,0)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8"/>
        <v>105000</v>
      </c>
      <c r="K2150" t="e">
        <f>VLOOKUP(B2150,'REGISTRO ABONOS'!$B$8:$BC$10012,54,0)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8"/>
        <v>105000</v>
      </c>
      <c r="K2151" t="e">
        <f>VLOOKUP(B2151,'REGISTRO ABONOS'!$B$8:$BC$10012,54,0)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J2152">
        <f t="shared" si="38"/>
        <v>105000</v>
      </c>
      <c r="K2152" t="e">
        <f>VLOOKUP(B2152,'REGISTRO ABONOS'!$B$8:$BC$10012,54,0)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8"/>
        <v>105000</v>
      </c>
      <c r="K2153" t="e">
        <f>VLOOKUP(B2153,'REGISTRO ABONOS'!$B$8:$BC$10012,54,0)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8"/>
        <v>105000</v>
      </c>
      <c r="K2154" t="e">
        <f>VLOOKUP(B2154,'REGISTRO ABONOS'!$B$8:$BC$10012,54,0)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8"/>
        <v>105000</v>
      </c>
      <c r="K2155" t="e">
        <f>VLOOKUP(B2155,'REGISTRO ABONOS'!$B$8:$BC$10012,54,0)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8"/>
        <v>105000</v>
      </c>
      <c r="K2156" t="e">
        <f>VLOOKUP(B2156,'REGISTRO ABONOS'!$B$8:$BC$10012,54,0)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8"/>
        <v>105000</v>
      </c>
      <c r="K2157" t="e">
        <f>VLOOKUP(B2157,'REGISTRO ABONOS'!$B$8:$BC$10012,54,0)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8"/>
        <v>105000</v>
      </c>
      <c r="K2158" t="e">
        <f>VLOOKUP(B2158,'REGISTRO ABONOS'!$B$8:$BC$10012,54,0)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8"/>
        <v>105000</v>
      </c>
      <c r="K2159" t="e">
        <f>VLOOKUP(B2159,'REGISTRO ABONOS'!$B$8:$BC$10012,54,0)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J2160">
        <f t="shared" si="38"/>
        <v>105000</v>
      </c>
      <c r="K2160" t="e">
        <f>VLOOKUP(B2160,'REGISTRO ABONOS'!$B$8:$BC$10012,54,0)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J2161">
        <f t="shared" si="38"/>
        <v>105000</v>
      </c>
      <c r="K2161" t="e">
        <f>VLOOKUP(B2161,'REGISTRO ABONOS'!$B$8:$BC$10012,54,0)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8"/>
        <v>105000</v>
      </c>
      <c r="K2162" t="e">
        <f>VLOOKUP(B2162,'REGISTRO ABONOS'!$B$8:$BC$10012,54,0)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J2163">
        <f t="shared" si="38"/>
        <v>105000</v>
      </c>
      <c r="K2163" t="e">
        <f>VLOOKUP(B2163,'REGISTRO ABONOS'!$B$8:$BC$10012,54,0)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8"/>
        <v>105000</v>
      </c>
      <c r="K2164" t="e">
        <f>VLOOKUP(B2164,'REGISTRO ABONOS'!$B$8:$BC$10012,54,0)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J2165">
        <f t="shared" si="38"/>
        <v>105000</v>
      </c>
      <c r="K2165" t="e">
        <f>VLOOKUP(B2165,'REGISTRO ABONOS'!$B$8:$BC$10012,54,0)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8"/>
        <v>105000</v>
      </c>
      <c r="K2166" t="e">
        <f>VLOOKUP(B2166,'REGISTRO ABONOS'!$B$8:$BC$10012,54,0)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8"/>
        <v>105000</v>
      </c>
      <c r="K2167" t="e">
        <f>VLOOKUP(B2167,'REGISTRO ABONOS'!$B$8:$BC$10012,54,0)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J2168">
        <f t="shared" si="38"/>
        <v>105000</v>
      </c>
      <c r="K2168" t="e">
        <f>VLOOKUP(B2168,'REGISTRO ABONOS'!$B$8:$BC$10012,54,0)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8"/>
        <v>105000</v>
      </c>
      <c r="K2169" t="e">
        <f>VLOOKUP(B2169,'REGISTRO ABONOS'!$B$8:$BC$10012,54,0)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8"/>
        <v>105000</v>
      </c>
      <c r="K2170" t="e">
        <f>VLOOKUP(B2170,'REGISTRO ABONOS'!$B$8:$BC$10012,54,0)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8"/>
        <v>105000</v>
      </c>
      <c r="K2171" t="e">
        <f>VLOOKUP(B2171,'REGISTRO ABONOS'!$B$8:$BC$10012,54,0)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ABONOS'!$B$8:$BC$10012,54,0)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9"/>
        <v>105000</v>
      </c>
      <c r="K2173" t="e">
        <f>VLOOKUP(B2173,'REGISTRO ABONOS'!$B$8:$BC$10012,54,0)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J2174">
        <f t="shared" si="39"/>
        <v>105000</v>
      </c>
      <c r="K2174" t="e">
        <f>VLOOKUP(B2174,'REGISTRO ABONOS'!$B$8:$BC$10012,54,0)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9"/>
        <v>105000</v>
      </c>
      <c r="K2175" t="e">
        <f>VLOOKUP(B2175,'REGISTRO ABONOS'!$B$8:$BC$10012,54,0)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J2176">
        <f t="shared" si="39"/>
        <v>105000</v>
      </c>
      <c r="K2176" t="e">
        <f>VLOOKUP(B2176,'REGISTRO ABONOS'!$B$8:$BC$10012,54,0)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9"/>
        <v>105000</v>
      </c>
      <c r="K2177" t="e">
        <f>VLOOKUP(B2177,'REGISTRO ABONOS'!$B$8:$BC$10012,54,0)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9"/>
        <v>105000</v>
      </c>
      <c r="K2178" t="e">
        <f>VLOOKUP(B2178,'REGISTRO ABONOS'!$B$8:$BC$10012,54,0)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9"/>
        <v>105000</v>
      </c>
      <c r="K2179" t="e">
        <f>VLOOKUP(B2179,'REGISTRO ABONOS'!$B$8:$BC$10012,54,0)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9"/>
        <v>105000</v>
      </c>
      <c r="K2180" t="e">
        <f>VLOOKUP(B2180,'REGISTRO ABONOS'!$B$8:$BC$10012,54,0)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9"/>
        <v>105000</v>
      </c>
      <c r="K2181" t="e">
        <f>VLOOKUP(B2181,'REGISTRO ABONOS'!$B$8:$BC$10012,54,0)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9"/>
        <v>105000</v>
      </c>
      <c r="K2182" t="e">
        <f>VLOOKUP(B2182,'REGISTRO ABONOS'!$B$8:$BC$10012,54,0)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9"/>
        <v>105000</v>
      </c>
      <c r="K2183" t="e">
        <f>VLOOKUP(B2183,'REGISTRO ABONOS'!$B$8:$BC$10012,54,0)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9"/>
        <v>105000</v>
      </c>
      <c r="K2184" t="e">
        <f>VLOOKUP(B2184,'REGISTRO ABONOS'!$B$8:$BC$10012,54,0)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9"/>
        <v>105000</v>
      </c>
      <c r="K2185" t="e">
        <f>VLOOKUP(B2185,'REGISTRO ABONOS'!$B$8:$BC$10012,54,0)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9"/>
        <v>105000</v>
      </c>
      <c r="K2186" t="e">
        <f>VLOOKUP(B2186,'REGISTRO ABONOS'!$B$8:$BC$10012,54,0)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J2187">
        <f t="shared" si="39"/>
        <v>105000</v>
      </c>
      <c r="K2187" t="e">
        <f>VLOOKUP(B2187,'REGISTRO ABONOS'!$B$8:$BC$10012,54,0)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J2188">
        <f t="shared" si="39"/>
        <v>105000</v>
      </c>
      <c r="K2188" t="e">
        <f>VLOOKUP(B2188,'REGISTRO ABONOS'!$B$8:$BC$10012,54,0)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J2189">
        <f t="shared" si="39"/>
        <v>105000</v>
      </c>
      <c r="K2189" t="e">
        <f>VLOOKUP(B2189,'REGISTRO ABONOS'!$B$8:$BC$10012,54,0)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9"/>
        <v>105000</v>
      </c>
      <c r="K2190" t="e">
        <f>VLOOKUP(B2190,'REGISTRO ABONOS'!$B$8:$BC$10012,54,0)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9"/>
        <v>105000</v>
      </c>
      <c r="K2191" t="e">
        <f>VLOOKUP(B2191,'REGISTRO ABONOS'!$B$8:$BC$10012,54,0)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J2192">
        <f t="shared" si="39"/>
        <v>105000</v>
      </c>
      <c r="K2192" t="e">
        <f>VLOOKUP(B2192,'REGISTRO ABONOS'!$B$8:$BC$10012,54,0)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J2193">
        <f t="shared" si="39"/>
        <v>105000</v>
      </c>
      <c r="K2193" t="e">
        <f>VLOOKUP(B2193,'REGISTRO ABONOS'!$B$8:$BC$10012,54,0)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J2194">
        <f t="shared" si="39"/>
        <v>105000</v>
      </c>
      <c r="K2194" t="e">
        <f>VLOOKUP(B2194,'REGISTRO ABONOS'!$B$8:$BC$10012,54,0)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9"/>
        <v>105000</v>
      </c>
      <c r="K2195" t="e">
        <f>VLOOKUP(B2195,'REGISTRO ABONOS'!$B$8:$BC$10012,54,0)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9"/>
        <v>105000</v>
      </c>
      <c r="K2196" t="e">
        <f>VLOOKUP(B2196,'REGISTRO ABONOS'!$B$8:$BC$10012,54,0)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J2197">
        <f t="shared" si="39"/>
        <v>105000</v>
      </c>
      <c r="K2197" t="e">
        <f>VLOOKUP(B2197,'REGISTRO ABONOS'!$B$8:$BC$10012,54,0)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9"/>
        <v>105000</v>
      </c>
      <c r="K2198" t="e">
        <f>VLOOKUP(B2198,'REGISTRO ABONOS'!$B$8:$BC$10012,54,0)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9"/>
        <v>105000</v>
      </c>
      <c r="K2199" t="e">
        <f>VLOOKUP(B2199,'REGISTRO ABONOS'!$B$8:$BC$10012,54,0)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J2200">
        <f t="shared" si="39"/>
        <v>105000</v>
      </c>
      <c r="K2200" t="e">
        <f>VLOOKUP(B2200,'REGISTRO ABONOS'!$B$8:$BC$10012,54,0)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9"/>
        <v>105000</v>
      </c>
      <c r="K2201" t="e">
        <f>VLOOKUP(B2201,'REGISTRO ABONOS'!$B$8:$BC$10012,54,0)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J2202">
        <f t="shared" si="39"/>
        <v>105000</v>
      </c>
      <c r="K2202" t="e">
        <f>VLOOKUP(B2202,'REGISTRO ABONOS'!$B$8:$BC$10012,54,0)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J2203">
        <f t="shared" si="39"/>
        <v>105000</v>
      </c>
      <c r="K2203" t="e">
        <f>VLOOKUP(B2203,'REGISTRO ABONOS'!$B$8:$BC$10012,54,0)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9"/>
        <v>105000</v>
      </c>
      <c r="K2204" t="e">
        <f>VLOOKUP(B2204,'REGISTRO ABONOS'!$B$8:$BC$10012,54,0)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9"/>
        <v>105000</v>
      </c>
      <c r="K2205" t="e">
        <f>VLOOKUP(B2205,'REGISTRO ABONOS'!$B$8:$BC$10012,54,0)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9"/>
        <v>105000</v>
      </c>
      <c r="K2206" t="e">
        <f>VLOOKUP(B2206,'REGISTRO ABONOS'!$B$8:$BC$10012,54,0)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9"/>
        <v>105000</v>
      </c>
      <c r="K2207" t="e">
        <f>VLOOKUP(B2207,'REGISTRO ABONOS'!$B$8:$BC$10012,54,0)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J2208">
        <f t="shared" si="39"/>
        <v>105000</v>
      </c>
      <c r="K2208" t="e">
        <f>VLOOKUP(B2208,'REGISTRO ABONOS'!$B$8:$BC$10012,54,0)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J2209">
        <f t="shared" si="39"/>
        <v>105000</v>
      </c>
      <c r="K2209" t="e">
        <f>VLOOKUP(B2209,'REGISTRO ABONOS'!$B$8:$BC$10012,54,0)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J2210">
        <f t="shared" si="39"/>
        <v>105000</v>
      </c>
      <c r="K2210" t="e">
        <f>VLOOKUP(B2210,'REGISTRO ABONOS'!$B$8:$BC$10012,54,0)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J2211">
        <f t="shared" si="39"/>
        <v>105000</v>
      </c>
      <c r="K2211" t="e">
        <f>VLOOKUP(B2211,'REGISTRO ABONOS'!$B$8:$BC$10012,54,0)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J2212">
        <f t="shared" si="39"/>
        <v>105000</v>
      </c>
      <c r="K2212" t="e">
        <f>VLOOKUP(B2212,'REGISTRO ABONOS'!$B$8:$BC$10012,54,0)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9"/>
        <v>105000</v>
      </c>
      <c r="K2213" t="e">
        <f>VLOOKUP(B2213,'REGISTRO ABONOS'!$B$8:$BC$10012,54,0)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9"/>
        <v>105000</v>
      </c>
      <c r="K2214" t="e">
        <f>VLOOKUP(B2214,'REGISTRO ABONOS'!$B$8:$BC$10012,54,0)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9"/>
        <v>105000</v>
      </c>
      <c r="K2215" t="e">
        <f>VLOOKUP(B2215,'REGISTRO ABONOS'!$B$8:$BC$10012,54,0)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9"/>
        <v>105000</v>
      </c>
      <c r="K2216" t="e">
        <f>VLOOKUP(B2216,'REGISTRO ABONOS'!$B$8:$BC$10012,54,0)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9"/>
        <v>105000</v>
      </c>
      <c r="K2217" t="e">
        <f>VLOOKUP(B2217,'REGISTRO ABONOS'!$B$8:$BC$10012,54,0)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9"/>
        <v>105000</v>
      </c>
      <c r="K2218" t="e">
        <f>VLOOKUP(B2218,'REGISTRO ABONOS'!$B$8:$BC$10012,54,0)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J2219">
        <f t="shared" si="39"/>
        <v>105000</v>
      </c>
      <c r="K2219" t="e">
        <f>VLOOKUP(B2219,'REGISTRO ABONOS'!$B$8:$BC$10012,54,0)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9"/>
        <v>105000</v>
      </c>
      <c r="K2220" t="e">
        <f>VLOOKUP(B2220,'REGISTRO ABONOS'!$B$8:$BC$10012,54,0)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J2221">
        <f t="shared" si="39"/>
        <v>105000</v>
      </c>
      <c r="K2221" t="e">
        <f>VLOOKUP(B2221,'REGISTRO ABONOS'!$B$8:$BC$10012,54,0)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9"/>
        <v>105000</v>
      </c>
      <c r="K2222" t="e">
        <f>VLOOKUP(B2222,'REGISTRO ABONOS'!$B$8:$BC$10012,54,0)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9"/>
        <v>105000</v>
      </c>
      <c r="K2223" t="e">
        <f>VLOOKUP(B2223,'REGISTRO ABONOS'!$B$8:$BC$10012,54,0)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9"/>
        <v>105000</v>
      </c>
      <c r="K2224" t="e">
        <f>VLOOKUP(B2224,'REGISTRO ABONOS'!$B$8:$BC$10012,54,0)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9"/>
        <v>105000</v>
      </c>
      <c r="K2225" t="e">
        <f>VLOOKUP(B2225,'REGISTRO ABONOS'!$B$8:$BC$10012,54,0)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9"/>
        <v>105000</v>
      </c>
      <c r="K2226" t="e">
        <f>VLOOKUP(B2226,'REGISTRO ABONOS'!$B$8:$BC$10012,54,0)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J2227">
        <f t="shared" si="39"/>
        <v>105000</v>
      </c>
      <c r="K2227" t="e">
        <f>VLOOKUP(B2227,'REGISTRO ABONOS'!$B$8:$BC$10012,54,0)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9"/>
        <v>105000</v>
      </c>
      <c r="K2228" t="e">
        <f>VLOOKUP(B2228,'REGISTRO ABONOS'!$B$8:$BC$10012,54,0)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J2229">
        <f t="shared" si="39"/>
        <v>105000</v>
      </c>
      <c r="K2229" t="e">
        <f>VLOOKUP(B2229,'REGISTRO ABONOS'!$B$8:$BC$10012,54,0)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9"/>
        <v>105000</v>
      </c>
      <c r="K2230" t="e">
        <f>VLOOKUP(B2230,'REGISTRO ABONOS'!$B$8:$BC$10012,54,0)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9"/>
        <v>105000</v>
      </c>
      <c r="K2231" t="e">
        <f>VLOOKUP(B2231,'REGISTRO ABONOS'!$B$8:$BC$10012,54,0)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9"/>
        <v>105000</v>
      </c>
      <c r="K2232" t="e">
        <f>VLOOKUP(B2232,'REGISTRO ABONOS'!$B$8:$BC$10012,54,0)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9"/>
        <v>105000</v>
      </c>
      <c r="K2233" t="e">
        <f>VLOOKUP(B2233,'REGISTRO ABONOS'!$B$8:$BC$10012,54,0)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9"/>
        <v>105000</v>
      </c>
      <c r="K2234" t="e">
        <f>VLOOKUP(B2234,'REGISTRO ABONOS'!$B$8:$BC$10012,54,0)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9"/>
        <v>105000</v>
      </c>
      <c r="K2235" t="e">
        <f>VLOOKUP(B2235,'REGISTRO ABONOS'!$B$8:$BC$10012,54,0)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ABONOS'!$B$8:$BC$10012,54,0)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40"/>
        <v>105000</v>
      </c>
      <c r="K2237" t="e">
        <f>VLOOKUP(B2237,'REGISTRO ABONOS'!$B$8:$BC$10012,54,0)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40"/>
        <v>105000</v>
      </c>
      <c r="K2238" t="e">
        <f>VLOOKUP(B2238,'REGISTRO ABONOS'!$B$8:$BC$10012,54,0)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40"/>
        <v>105000</v>
      </c>
      <c r="K2239" t="e">
        <f>VLOOKUP(B2239,'REGISTRO ABONOS'!$B$8:$BC$10012,54,0)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40"/>
        <v>105000</v>
      </c>
      <c r="K2240" t="e">
        <f>VLOOKUP(B2240,'REGISTRO ABONOS'!$B$8:$BC$10012,54,0)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40"/>
        <v>105000</v>
      </c>
      <c r="K2241" t="e">
        <f>VLOOKUP(B2241,'REGISTRO ABONOS'!$B$8:$BC$10012,54,0)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40"/>
        <v>105000</v>
      </c>
      <c r="K2242" t="e">
        <f>VLOOKUP(B2242,'REGISTRO ABONOS'!$B$8:$BC$10012,54,0)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40"/>
        <v>105000</v>
      </c>
      <c r="K2243" t="e">
        <f>VLOOKUP(B2243,'REGISTRO ABONOS'!$B$8:$BC$10012,54,0)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40"/>
        <v>105000</v>
      </c>
      <c r="K2244" t="e">
        <f>VLOOKUP(B2244,'REGISTRO ABONOS'!$B$8:$BC$10012,54,0)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40"/>
        <v>105000</v>
      </c>
      <c r="K2245" t="e">
        <f>VLOOKUP(B2245,'REGISTRO ABONOS'!$B$8:$BC$10012,54,0)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40"/>
        <v>105000</v>
      </c>
      <c r="K2246" t="e">
        <f>VLOOKUP(B2246,'REGISTRO ABONOS'!$B$8:$BC$10012,54,0)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40"/>
        <v>105000</v>
      </c>
      <c r="K2247" t="e">
        <f>VLOOKUP(B2247,'REGISTRO ABONOS'!$B$8:$BC$10012,54,0)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40"/>
        <v>105000</v>
      </c>
      <c r="K2248" t="e">
        <f>VLOOKUP(B2248,'REGISTRO ABONOS'!$B$8:$BC$10012,54,0)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40"/>
        <v>105000</v>
      </c>
      <c r="K2249" t="e">
        <f>VLOOKUP(B2249,'REGISTRO ABONOS'!$B$8:$BC$10012,54,0)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40"/>
        <v>105000</v>
      </c>
      <c r="K2250" t="e">
        <f>VLOOKUP(B2250,'REGISTRO ABONOS'!$B$8:$BC$10012,54,0)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40"/>
        <v>105000</v>
      </c>
      <c r="K2251" t="e">
        <f>VLOOKUP(B2251,'REGISTRO ABONOS'!$B$8:$BC$10012,54,0)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40"/>
        <v>105000</v>
      </c>
      <c r="K2252" t="e">
        <f>VLOOKUP(B2252,'REGISTRO ABONOS'!$B$8:$BC$10012,54,0)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40"/>
        <v>105000</v>
      </c>
      <c r="K2253" t="e">
        <f>VLOOKUP(B2253,'REGISTRO ABONOS'!$B$8:$BC$10012,54,0)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40"/>
        <v>105000</v>
      </c>
      <c r="K2254" t="e">
        <f>VLOOKUP(B2254,'REGISTRO ABONOS'!$B$8:$BC$10012,54,0)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40"/>
        <v>105000</v>
      </c>
      <c r="K2255" t="e">
        <f>VLOOKUP(B2255,'REGISTRO ABONOS'!$B$8:$BC$10012,54,0)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40"/>
        <v>105000</v>
      </c>
      <c r="K2256" t="e">
        <f>VLOOKUP(B2256,'REGISTRO ABONOS'!$B$8:$BC$10012,54,0)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40"/>
        <v>105000</v>
      </c>
      <c r="K2257" t="e">
        <f>VLOOKUP(B2257,'REGISTRO ABONOS'!$B$8:$BC$10012,54,0)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40"/>
        <v>105000</v>
      </c>
      <c r="K2258" t="e">
        <f>VLOOKUP(B2258,'REGISTRO ABONOS'!$B$8:$BC$10012,54,0)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40"/>
        <v>105000</v>
      </c>
      <c r="K2259" t="e">
        <f>VLOOKUP(B2259,'REGISTRO ABONOS'!$B$8:$BC$10012,54,0)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40"/>
        <v>105000</v>
      </c>
      <c r="K2260" t="e">
        <f>VLOOKUP(B2260,'REGISTRO ABONOS'!$B$8:$BC$10012,54,0)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40"/>
        <v>105000</v>
      </c>
      <c r="K2261" t="e">
        <f>VLOOKUP(B2261,'REGISTRO ABONOS'!$B$8:$BC$10012,54,0)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40"/>
        <v>105000</v>
      </c>
      <c r="K2262" t="e">
        <f>VLOOKUP(B2262,'REGISTRO ABONOS'!$B$8:$BC$10012,54,0)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40"/>
        <v>105000</v>
      </c>
      <c r="K2263" t="e">
        <f>VLOOKUP(B2263,'REGISTRO ABONOS'!$B$8:$BC$10012,54,0)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40"/>
        <v>105000</v>
      </c>
      <c r="K2264" t="e">
        <f>VLOOKUP(B2264,'REGISTRO ABONOS'!$B$8:$BC$10012,54,0)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40"/>
        <v>105000</v>
      </c>
      <c r="K2265" t="e">
        <f>VLOOKUP(B2265,'REGISTRO ABONOS'!$B$8:$BC$10012,54,0)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40"/>
        <v>105000</v>
      </c>
      <c r="K2266" t="e">
        <f>VLOOKUP(B2266,'REGISTRO ABONOS'!$B$8:$BC$10012,54,0)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40"/>
        <v>105000</v>
      </c>
      <c r="K2267" t="e">
        <f>VLOOKUP(B2267,'REGISTRO ABONOS'!$B$8:$BC$10012,54,0)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40"/>
        <v>105000</v>
      </c>
      <c r="K2268" t="e">
        <f>VLOOKUP(B2268,'REGISTRO ABONOS'!$B$8:$BC$10012,54,0)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40"/>
        <v>105000</v>
      </c>
      <c r="K2269" t="e">
        <f>VLOOKUP(B2269,'REGISTRO ABONOS'!$B$8:$BC$10012,54,0)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40"/>
        <v>105000</v>
      </c>
      <c r="K2270" t="e">
        <f>VLOOKUP(B2270,'REGISTRO ABONOS'!$B$8:$BC$10012,54,0)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40"/>
        <v>105000</v>
      </c>
      <c r="K2271" t="e">
        <f>VLOOKUP(B2271,'REGISTRO ABONOS'!$B$8:$BC$10012,54,0)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40"/>
        <v>105000</v>
      </c>
      <c r="K2272" t="e">
        <f>VLOOKUP(B2272,'REGISTRO ABONOS'!$B$8:$BC$10012,54,0)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40"/>
        <v>105000</v>
      </c>
      <c r="K2273" t="e">
        <f>VLOOKUP(B2273,'REGISTRO ABONOS'!$B$8:$BC$10012,54,0)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40"/>
        <v>105000</v>
      </c>
      <c r="K2274" t="e">
        <f>VLOOKUP(B2274,'REGISTRO ABONOS'!$B$8:$BC$10012,54,0)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40"/>
        <v>105000</v>
      </c>
      <c r="K2275" t="e">
        <f>VLOOKUP(B2275,'REGISTRO ABONOS'!$B$8:$BC$10012,54,0)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40"/>
        <v>105000</v>
      </c>
      <c r="K2276" t="e">
        <f>VLOOKUP(B2276,'REGISTRO ABONOS'!$B$8:$BC$10012,54,0)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40"/>
        <v>105000</v>
      </c>
      <c r="K2277" t="e">
        <f>VLOOKUP(B2277,'REGISTRO ABONOS'!$B$8:$BC$10012,54,0)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40"/>
        <v>105000</v>
      </c>
      <c r="K2278" t="e">
        <f>VLOOKUP(B2278,'REGISTRO ABONOS'!$B$8:$BC$10012,54,0)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40"/>
        <v>105000</v>
      </c>
      <c r="K2279" t="e">
        <f>VLOOKUP(B2279,'REGISTRO ABONOS'!$B$8:$BC$10012,54,0)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40"/>
        <v>105000</v>
      </c>
      <c r="K2280" t="e">
        <f>VLOOKUP(B2280,'REGISTRO ABONOS'!$B$8:$BC$10012,54,0)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40"/>
        <v>105000</v>
      </c>
      <c r="K2281" t="e">
        <f>VLOOKUP(B2281,'REGISTRO ABONOS'!$B$8:$BC$10012,54,0)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40"/>
        <v>105000</v>
      </c>
      <c r="K2282" t="e">
        <f>VLOOKUP(B2282,'REGISTRO ABONOS'!$B$8:$BC$10012,54,0)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40"/>
        <v>105000</v>
      </c>
      <c r="K2283" t="e">
        <f>VLOOKUP(B2283,'REGISTRO ABONOS'!$B$8:$BC$10012,54,0)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40"/>
        <v>105000</v>
      </c>
      <c r="K2284" t="e">
        <f>VLOOKUP(B2284,'REGISTRO ABONOS'!$B$8:$BC$10012,54,0)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40"/>
        <v>105000</v>
      </c>
      <c r="K2285" t="e">
        <f>VLOOKUP(B2285,'REGISTRO ABONOS'!$B$8:$BC$10012,54,0)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40"/>
        <v>105000</v>
      </c>
      <c r="K2286" t="e">
        <f>VLOOKUP(B2286,'REGISTRO ABONOS'!$B$8:$BC$10012,54,0)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40"/>
        <v>105000</v>
      </c>
      <c r="K2287" t="e">
        <f>VLOOKUP(B2287,'REGISTRO ABONOS'!$B$8:$BC$10012,54,0)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40"/>
        <v>105000</v>
      </c>
      <c r="K2288" t="e">
        <f>VLOOKUP(B2288,'REGISTRO ABONOS'!$B$8:$BC$10012,54,0)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40"/>
        <v>105000</v>
      </c>
      <c r="K2289" t="e">
        <f>VLOOKUP(B2289,'REGISTRO ABONOS'!$B$8:$BC$10012,54,0)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40"/>
        <v>105000</v>
      </c>
      <c r="K2290" t="e">
        <f>VLOOKUP(B2290,'REGISTRO ABONOS'!$B$8:$BC$10012,54,0)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40"/>
        <v>105000</v>
      </c>
      <c r="K2291" t="e">
        <f>VLOOKUP(B2291,'REGISTRO ABONOS'!$B$8:$BC$10012,54,0)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40"/>
        <v>105000</v>
      </c>
      <c r="K2292" t="e">
        <f>VLOOKUP(B2292,'REGISTRO ABONOS'!$B$8:$BC$10012,54,0)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40"/>
        <v>105000</v>
      </c>
      <c r="K2293" t="e">
        <f>VLOOKUP(B2293,'REGISTRO ABONOS'!$B$8:$BC$10012,54,0)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40"/>
        <v>105000</v>
      </c>
      <c r="K2294" t="e">
        <f>VLOOKUP(B2294,'REGISTRO ABONOS'!$B$8:$BC$10012,54,0)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40"/>
        <v>105000</v>
      </c>
      <c r="K2295" t="e">
        <f>VLOOKUP(B2295,'REGISTRO ABONOS'!$B$8:$BC$10012,54,0)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40"/>
        <v>105000</v>
      </c>
      <c r="K2296" t="e">
        <f>VLOOKUP(B2296,'REGISTRO ABONOS'!$B$8:$BC$10012,54,0)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40"/>
        <v>105000</v>
      </c>
      <c r="K2297" t="e">
        <f>VLOOKUP(B2297,'REGISTRO ABONOS'!$B$8:$BC$10012,54,0)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40"/>
        <v>105000</v>
      </c>
      <c r="K2298" t="e">
        <f>VLOOKUP(B2298,'REGISTRO ABONOS'!$B$8:$BC$10012,54,0)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40"/>
        <v>105000</v>
      </c>
      <c r="K2299" t="e">
        <f>VLOOKUP(B2299,'REGISTRO ABONOS'!$B$8:$BC$10012,54,0)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ABONOS'!$B$8:$BC$10012,54,0)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1"/>
        <v>105000</v>
      </c>
      <c r="K2301" t="e">
        <f>VLOOKUP(B2301,'REGISTRO ABONOS'!$B$8:$BC$10012,54,0)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1"/>
        <v>105000</v>
      </c>
      <c r="K2302" t="e">
        <f>VLOOKUP(B2302,'REGISTRO ABONOS'!$B$8:$BC$10012,54,0)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1"/>
        <v>105000</v>
      </c>
      <c r="K2303" t="e">
        <f>VLOOKUP(B2303,'REGISTRO ABONOS'!$B$8:$BC$10012,54,0)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1"/>
        <v>105000</v>
      </c>
      <c r="K2304" t="e">
        <f>VLOOKUP(B2304,'REGISTRO ABONOS'!$B$8:$BC$10012,54,0)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1"/>
        <v>105000</v>
      </c>
      <c r="K2305" t="e">
        <f>VLOOKUP(B2305,'REGISTRO ABONOS'!$B$8:$BC$10012,54,0)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1"/>
        <v>105000</v>
      </c>
      <c r="K2306" t="e">
        <f>VLOOKUP(B2306,'REGISTRO ABONOS'!$B$8:$BC$10012,54,0)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1"/>
        <v>105000</v>
      </c>
      <c r="K2307" t="e">
        <f>VLOOKUP(B2307,'REGISTRO ABONOS'!$B$8:$BC$10012,54,0)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1"/>
        <v>105000</v>
      </c>
      <c r="K2308" t="e">
        <f>VLOOKUP(B2308,'REGISTRO ABONOS'!$B$8:$BC$10012,54,0)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1"/>
        <v>105000</v>
      </c>
      <c r="K2309" t="e">
        <f>VLOOKUP(B2309,'REGISTRO ABONOS'!$B$8:$BC$10012,54,0)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1"/>
        <v>105000</v>
      </c>
      <c r="K2310" t="e">
        <f>VLOOKUP(B2310,'REGISTRO ABONOS'!$B$8:$BC$10012,54,0)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1"/>
        <v>105000</v>
      </c>
      <c r="K2311" t="e">
        <f>VLOOKUP(B2311,'REGISTRO ABONOS'!$B$8:$BC$10012,54,0)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1"/>
        <v>105000</v>
      </c>
      <c r="K2312" t="e">
        <f>VLOOKUP(B2312,'REGISTRO ABONOS'!$B$8:$BC$10012,54,0)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1"/>
        <v>105000</v>
      </c>
      <c r="K2313" t="e">
        <f>VLOOKUP(B2313,'REGISTRO ABONOS'!$B$8:$BC$10012,54,0)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1"/>
        <v>105000</v>
      </c>
      <c r="K2314" t="e">
        <f>VLOOKUP(B2314,'REGISTRO ABONOS'!$B$8:$BC$10012,54,0)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1"/>
        <v>105000</v>
      </c>
      <c r="K2315" t="e">
        <f>VLOOKUP(B2315,'REGISTRO ABONOS'!$B$8:$BC$10012,54,0)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1"/>
        <v>105000</v>
      </c>
      <c r="K2316" t="e">
        <f>VLOOKUP(B2316,'REGISTRO ABONOS'!$B$8:$BC$10012,54,0)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J2317">
        <f t="shared" si="41"/>
        <v>105000</v>
      </c>
      <c r="K2317" t="e">
        <f>VLOOKUP(B2317,'REGISTRO ABONOS'!$B$8:$BC$10012,54,0)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1"/>
        <v>105000</v>
      </c>
      <c r="K2318" t="e">
        <f>VLOOKUP(B2318,'REGISTRO ABONOS'!$B$8:$BC$10012,54,0)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1"/>
        <v>105000</v>
      </c>
      <c r="K2319" t="e">
        <f>VLOOKUP(B2319,'REGISTRO ABONOS'!$B$8:$BC$10012,54,0)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1"/>
        <v>105000</v>
      </c>
      <c r="K2320" t="e">
        <f>VLOOKUP(B2320,'REGISTRO ABONOS'!$B$8:$BC$10012,54,0)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1"/>
        <v>105000</v>
      </c>
      <c r="K2321" t="e">
        <f>VLOOKUP(B2321,'REGISTRO ABONOS'!$B$8:$BC$10012,54,0)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1"/>
        <v>105000</v>
      </c>
      <c r="K2322" t="e">
        <f>VLOOKUP(B2322,'REGISTRO ABONOS'!$B$8:$BC$10012,54,0)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1"/>
        <v>105000</v>
      </c>
      <c r="K2323" t="e">
        <f>VLOOKUP(B2323,'REGISTRO ABONOS'!$B$8:$BC$10012,54,0)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1"/>
        <v>105000</v>
      </c>
      <c r="K2324" t="e">
        <f>VLOOKUP(B2324,'REGISTRO ABONOS'!$B$8:$BC$10012,54,0)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1"/>
        <v>105000</v>
      </c>
      <c r="K2325" t="e">
        <f>VLOOKUP(B2325,'REGISTRO ABONOS'!$B$8:$BC$10012,54,0)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J2326">
        <f t="shared" si="41"/>
        <v>105000</v>
      </c>
      <c r="K2326" t="e">
        <f>VLOOKUP(B2326,'REGISTRO ABONOS'!$B$8:$BC$10012,54,0)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J2327">
        <f t="shared" si="41"/>
        <v>105000</v>
      </c>
      <c r="K2327" t="e">
        <f>VLOOKUP(B2327,'REGISTRO ABONOS'!$B$8:$BC$10012,54,0)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J2328">
        <f t="shared" si="41"/>
        <v>105000</v>
      </c>
      <c r="K2328" t="e">
        <f>VLOOKUP(B2328,'REGISTRO ABONOS'!$B$8:$BC$10012,54,0)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1"/>
        <v>105000</v>
      </c>
      <c r="K2329" t="e">
        <f>VLOOKUP(B2329,'REGISTRO ABONOS'!$B$8:$BC$10012,54,0)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1"/>
        <v>105000</v>
      </c>
      <c r="K2330" t="e">
        <f>VLOOKUP(B2330,'REGISTRO ABONOS'!$B$8:$BC$10012,54,0)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1"/>
        <v>105000</v>
      </c>
      <c r="K2331" t="e">
        <f>VLOOKUP(B2331,'REGISTRO ABONOS'!$B$8:$BC$10012,54,0)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1"/>
        <v>105000</v>
      </c>
      <c r="K2332" t="e">
        <f>VLOOKUP(B2332,'REGISTRO ABONOS'!$B$8:$BC$10012,54,0)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1"/>
        <v>105000</v>
      </c>
      <c r="K2333" t="e">
        <f>VLOOKUP(B2333,'REGISTRO ABONOS'!$B$8:$BC$10012,54,0)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1"/>
        <v>105000</v>
      </c>
      <c r="K2334" t="e">
        <f>VLOOKUP(B2334,'REGISTRO ABONOS'!$B$8:$BC$10012,54,0)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1"/>
        <v>105000</v>
      </c>
      <c r="K2335" t="e">
        <f>VLOOKUP(B2335,'REGISTRO ABONOS'!$B$8:$BC$10012,54,0)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1"/>
        <v>105000</v>
      </c>
      <c r="K2336" t="e">
        <f>VLOOKUP(B2336,'REGISTRO ABONOS'!$B$8:$BC$10012,54,0)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1"/>
        <v>105000</v>
      </c>
      <c r="K2337" t="e">
        <f>VLOOKUP(B2337,'REGISTRO ABONOS'!$B$8:$BC$10012,54,0)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1"/>
        <v>105000</v>
      </c>
      <c r="K2338" t="e">
        <f>VLOOKUP(B2338,'REGISTRO ABONOS'!$B$8:$BC$10012,54,0)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J2339">
        <f t="shared" si="41"/>
        <v>105000</v>
      </c>
      <c r="K2339" t="e">
        <f>VLOOKUP(B2339,'REGISTRO ABONOS'!$B$8:$BC$10012,54,0)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1"/>
        <v>105000</v>
      </c>
      <c r="K2340" t="e">
        <f>VLOOKUP(B2340,'REGISTRO ABONOS'!$B$8:$BC$10012,54,0)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1"/>
        <v>105000</v>
      </c>
      <c r="K2341" t="e">
        <f>VLOOKUP(B2341,'REGISTRO ABONOS'!$B$8:$BC$10012,54,0)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1"/>
        <v>105000</v>
      </c>
      <c r="K2342" t="e">
        <f>VLOOKUP(B2342,'REGISTRO ABONOS'!$B$8:$BC$10012,54,0)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1"/>
        <v>105000</v>
      </c>
      <c r="K2343" t="e">
        <f>VLOOKUP(B2343,'REGISTRO ABONOS'!$B$8:$BC$10012,54,0)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1"/>
        <v>105000</v>
      </c>
      <c r="K2344" t="e">
        <f>VLOOKUP(B2344,'REGISTRO ABONOS'!$B$8:$BC$10012,54,0)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1"/>
        <v>105000</v>
      </c>
      <c r="K2345" t="e">
        <f>VLOOKUP(B2345,'REGISTRO ABONOS'!$B$8:$BC$10012,54,0)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1"/>
        <v>105000</v>
      </c>
      <c r="K2346" t="e">
        <f>VLOOKUP(B2346,'REGISTRO ABONOS'!$B$8:$BC$10012,54,0)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1"/>
        <v>105000</v>
      </c>
      <c r="K2347" t="e">
        <f>VLOOKUP(B2347,'REGISTRO ABONOS'!$B$8:$BC$10012,54,0)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1"/>
        <v>105000</v>
      </c>
      <c r="K2348" t="e">
        <f>VLOOKUP(B2348,'REGISTRO ABONOS'!$B$8:$BC$10012,54,0)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1"/>
        <v>105000</v>
      </c>
      <c r="K2349" t="e">
        <f>VLOOKUP(B2349,'REGISTRO ABONOS'!$B$8:$BC$10012,54,0)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J2350">
        <f t="shared" si="41"/>
        <v>105000</v>
      </c>
      <c r="K2350" t="e">
        <f>VLOOKUP(B2350,'REGISTRO ABONOS'!$B$8:$BC$10012,54,0)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1"/>
        <v>105000</v>
      </c>
      <c r="K2351" t="e">
        <f>VLOOKUP(B2351,'REGISTRO ABONOS'!$B$8:$BC$10012,54,0)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1"/>
        <v>105000</v>
      </c>
      <c r="K2352" t="e">
        <f>VLOOKUP(B2352,'REGISTRO ABONOS'!$B$8:$BC$10012,54,0)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1"/>
        <v>105000</v>
      </c>
      <c r="K2353" t="e">
        <f>VLOOKUP(B2353,'REGISTRO ABONOS'!$B$8:$BC$10012,54,0)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J2354">
        <f t="shared" si="41"/>
        <v>105000</v>
      </c>
      <c r="K2354" t="e">
        <f>VLOOKUP(B2354,'REGISTRO ABONOS'!$B$8:$BC$10012,54,0)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1"/>
        <v>105000</v>
      </c>
      <c r="K2355" t="e">
        <f>VLOOKUP(B2355,'REGISTRO ABONOS'!$B$8:$BC$10012,54,0)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1"/>
        <v>105000</v>
      </c>
      <c r="K2356" t="e">
        <f>VLOOKUP(B2356,'REGISTRO ABONOS'!$B$8:$BC$10012,54,0)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1"/>
        <v>105000</v>
      </c>
      <c r="K2357" t="e">
        <f>VLOOKUP(B2357,'REGISTRO ABONOS'!$B$8:$BC$10012,54,0)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1"/>
        <v>105000</v>
      </c>
      <c r="K2358" t="e">
        <f>VLOOKUP(B2358,'REGISTRO ABONOS'!$B$8:$BC$10012,54,0)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1"/>
        <v>105000</v>
      </c>
      <c r="K2359" t="e">
        <f>VLOOKUP(B2359,'REGISTRO ABONOS'!$B$8:$BC$10012,54,0)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1"/>
        <v>105000</v>
      </c>
      <c r="K2360" t="e">
        <f>VLOOKUP(B2360,'REGISTRO ABONOS'!$B$8:$BC$10012,54,0)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J2361">
        <f t="shared" si="41"/>
        <v>105000</v>
      </c>
      <c r="K2361" t="e">
        <f>VLOOKUP(B2361,'REGISTRO ABONOS'!$B$8:$BC$10012,54,0)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1"/>
        <v>105000</v>
      </c>
      <c r="K2362" t="e">
        <f>VLOOKUP(B2362,'REGISTRO ABONOS'!$B$8:$BC$10012,54,0)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1"/>
        <v>105000</v>
      </c>
      <c r="K2363" t="e">
        <f>VLOOKUP(B2363,'REGISTRO ABONOS'!$B$8:$BC$10012,54,0)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ABONOS'!$B$8:$BC$10012,54,0)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2"/>
        <v>105000</v>
      </c>
      <c r="K2365" t="e">
        <f>VLOOKUP(B2365,'REGISTRO ABONOS'!$B$8:$BC$10012,54,0)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2"/>
        <v>105000</v>
      </c>
      <c r="K2366" t="e">
        <f>VLOOKUP(B2366,'REGISTRO ABONOS'!$B$8:$BC$10012,54,0)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2"/>
        <v>105000</v>
      </c>
      <c r="K2367" t="e">
        <f>VLOOKUP(B2367,'REGISTRO ABONOS'!$B$8:$BC$10012,54,0)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2"/>
        <v>105000</v>
      </c>
      <c r="K2368" t="e">
        <f>VLOOKUP(B2368,'REGISTRO ABONOS'!$B$8:$BC$10012,54,0)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2"/>
        <v>105000</v>
      </c>
      <c r="K2369" t="e">
        <f>VLOOKUP(B2369,'REGISTRO ABONOS'!$B$8:$BC$10012,54,0)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2"/>
        <v>105000</v>
      </c>
      <c r="K2370" t="e">
        <f>VLOOKUP(B2370,'REGISTRO ABONOS'!$B$8:$BC$10012,54,0)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2"/>
        <v>105000</v>
      </c>
      <c r="K2371" t="e">
        <f>VLOOKUP(B2371,'REGISTRO ABONOS'!$B$8:$BC$10012,54,0)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2"/>
        <v>105000</v>
      </c>
      <c r="K2372" t="e">
        <f>VLOOKUP(B2372,'REGISTRO ABONOS'!$B$8:$BC$10012,54,0)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2"/>
        <v>105000</v>
      </c>
      <c r="K2373" t="e">
        <f>VLOOKUP(B2373,'REGISTRO ABONOS'!$B$8:$BC$10012,54,0)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2"/>
        <v>105000</v>
      </c>
      <c r="K2374" t="e">
        <f>VLOOKUP(B2374,'REGISTRO ABONOS'!$B$8:$BC$10012,54,0)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2"/>
        <v>105000</v>
      </c>
      <c r="K2375" t="e">
        <f>VLOOKUP(B2375,'REGISTRO ABONOS'!$B$8:$BC$10012,54,0)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2"/>
        <v>105000</v>
      </c>
      <c r="K2376" t="e">
        <f>VLOOKUP(B2376,'REGISTRO ABONOS'!$B$8:$BC$10012,54,0)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2"/>
        <v>105000</v>
      </c>
      <c r="K2377" t="e">
        <f>VLOOKUP(B2377,'REGISTRO ABONOS'!$B$8:$BC$10012,54,0)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2"/>
        <v>105000</v>
      </c>
      <c r="K2378" t="e">
        <f>VLOOKUP(B2378,'REGISTRO ABONOS'!$B$8:$BC$10012,54,0)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J2379">
        <f t="shared" si="42"/>
        <v>105000</v>
      </c>
      <c r="K2379" t="e">
        <f>VLOOKUP(B2379,'REGISTRO ABONOS'!$B$8:$BC$10012,54,0)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2"/>
        <v>105000</v>
      </c>
      <c r="K2380" t="e">
        <f>VLOOKUP(B2380,'REGISTRO ABONOS'!$B$8:$BC$10012,54,0)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J2381">
        <f t="shared" si="42"/>
        <v>105000</v>
      </c>
      <c r="K2381" t="e">
        <f>VLOOKUP(B2381,'REGISTRO ABONOS'!$B$8:$BC$10012,54,0)</f>
        <v>#N/A</v>
      </c>
      <c r="L2381" t="e">
        <f>IF(Tabla26[[#This Row],[VALOR RESTANTE]]&lt;Tabla26[[#This Row],[VALOR]],"NO DISPONIBLE","DISPONIBLE")</f>
        <v>#N/A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2"/>
        <v>105000</v>
      </c>
      <c r="K2382" t="e">
        <f>VLOOKUP(B2382,'REGISTRO ABONOS'!$B$8:$BC$10012,54,0)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2"/>
        <v>105000</v>
      </c>
      <c r="K2383" t="e">
        <f>VLOOKUP(B2383,'REGISTRO ABONOS'!$B$8:$BC$10012,54,0)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2"/>
        <v>105000</v>
      </c>
      <c r="K2384" t="e">
        <f>VLOOKUP(B2384,'REGISTRO ABONOS'!$B$8:$BC$10012,54,0)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2"/>
        <v>105000</v>
      </c>
      <c r="K2385" t="e">
        <f>VLOOKUP(B2385,'REGISTRO ABONOS'!$B$8:$BC$10012,54,0)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2"/>
        <v>105000</v>
      </c>
      <c r="K2386" t="e">
        <f>VLOOKUP(B2386,'REGISTRO ABONOS'!$B$8:$BC$10012,54,0)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2"/>
        <v>105000</v>
      </c>
      <c r="K2387" t="e">
        <f>VLOOKUP(B2387,'REGISTRO ABONOS'!$B$8:$BC$10012,54,0)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2"/>
        <v>105000</v>
      </c>
      <c r="K2388" t="e">
        <f>VLOOKUP(B2388,'REGISTRO ABONOS'!$B$8:$BC$10012,54,0)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2"/>
        <v>105000</v>
      </c>
      <c r="K2389" t="e">
        <f>VLOOKUP(B2389,'REGISTRO ABONOS'!$B$8:$BC$10012,54,0)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2"/>
        <v>105000</v>
      </c>
      <c r="K2390" t="e">
        <f>VLOOKUP(B2390,'REGISTRO ABONOS'!$B$8:$BC$10012,54,0)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2"/>
        <v>105000</v>
      </c>
      <c r="K2391" t="e">
        <f>VLOOKUP(B2391,'REGISTRO ABONOS'!$B$8:$BC$10012,54,0)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2"/>
        <v>105000</v>
      </c>
      <c r="K2392" t="e">
        <f>VLOOKUP(B2392,'REGISTRO ABONOS'!$B$8:$BC$10012,54,0)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2"/>
        <v>105000</v>
      </c>
      <c r="K2393" t="e">
        <f>VLOOKUP(B2393,'REGISTRO ABONOS'!$B$8:$BC$10012,54,0)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2"/>
        <v>105000</v>
      </c>
      <c r="K2394" t="e">
        <f>VLOOKUP(B2394,'REGISTRO ABONOS'!$B$8:$BC$10012,54,0)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2"/>
        <v>105000</v>
      </c>
      <c r="K2395" t="e">
        <f>VLOOKUP(B2395,'REGISTRO ABONOS'!$B$8:$BC$10012,54,0)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2"/>
        <v>105000</v>
      </c>
      <c r="K2396" t="e">
        <f>VLOOKUP(B2396,'REGISTRO ABONOS'!$B$8:$BC$10012,54,0)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2"/>
        <v>105000</v>
      </c>
      <c r="K2397" t="e">
        <f>VLOOKUP(B2397,'REGISTRO ABONOS'!$B$8:$BC$10012,54,0)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2"/>
        <v>105000</v>
      </c>
      <c r="K2398" t="e">
        <f>VLOOKUP(B2398,'REGISTRO ABONOS'!$B$8:$BC$10012,54,0)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2"/>
        <v>105000</v>
      </c>
      <c r="K2399" t="e">
        <f>VLOOKUP(B2399,'REGISTRO ABONOS'!$B$8:$BC$10012,54,0)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2"/>
        <v>105000</v>
      </c>
      <c r="K2400" t="e">
        <f>VLOOKUP(B2400,'REGISTRO ABONOS'!$B$8:$BC$10012,54,0)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2"/>
        <v>105000</v>
      </c>
      <c r="K2401" t="e">
        <f>VLOOKUP(B2401,'REGISTRO ABONOS'!$B$8:$BC$10012,54,0)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2"/>
        <v>105000</v>
      </c>
      <c r="K2402" t="e">
        <f>VLOOKUP(B2402,'REGISTRO ABONOS'!$B$8:$BC$10012,54,0)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2"/>
        <v>105000</v>
      </c>
      <c r="K2403" t="e">
        <f>VLOOKUP(B2403,'REGISTRO ABONOS'!$B$8:$BC$10012,54,0)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2"/>
        <v>105000</v>
      </c>
      <c r="K2404" t="e">
        <f>VLOOKUP(B2404,'REGISTRO ABONOS'!$B$8:$BC$10012,54,0)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2"/>
        <v>105000</v>
      </c>
      <c r="K2405" t="e">
        <f>VLOOKUP(B2405,'REGISTRO ABONOS'!$B$8:$BC$10012,54,0)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2"/>
        <v>105000</v>
      </c>
      <c r="K2406" t="e">
        <f>VLOOKUP(B2406,'REGISTRO ABONOS'!$B$8:$BC$10012,54,0)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2"/>
        <v>105000</v>
      </c>
      <c r="K2407" t="e">
        <f>VLOOKUP(B2407,'REGISTRO ABONOS'!$B$8:$BC$10012,54,0)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2"/>
        <v>105000</v>
      </c>
      <c r="K2408" t="e">
        <f>VLOOKUP(B2408,'REGISTRO ABONOS'!$B$8:$BC$10012,54,0)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2"/>
        <v>105000</v>
      </c>
      <c r="K2409" t="e">
        <f>VLOOKUP(B2409,'REGISTRO ABONOS'!$B$8:$BC$10012,54,0)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2"/>
        <v>105000</v>
      </c>
      <c r="K2410" t="e">
        <f>VLOOKUP(B2410,'REGISTRO ABONOS'!$B$8:$BC$10012,54,0)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2"/>
        <v>105000</v>
      </c>
      <c r="K2411" t="e">
        <f>VLOOKUP(B2411,'REGISTRO ABONOS'!$B$8:$BC$10012,54,0)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2"/>
        <v>105000</v>
      </c>
      <c r="K2412" t="e">
        <f>VLOOKUP(B2412,'REGISTRO ABONOS'!$B$8:$BC$10012,54,0)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2"/>
        <v>105000</v>
      </c>
      <c r="K2413" t="e">
        <f>VLOOKUP(B2413,'REGISTRO ABONOS'!$B$8:$BC$10012,54,0)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2"/>
        <v>105000</v>
      </c>
      <c r="K2414" t="e">
        <f>VLOOKUP(B2414,'REGISTRO ABONOS'!$B$8:$BC$10012,54,0)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2"/>
        <v>105000</v>
      </c>
      <c r="K2415" t="e">
        <f>VLOOKUP(B2415,'REGISTRO ABONOS'!$B$8:$BC$10012,54,0)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2"/>
        <v>105000</v>
      </c>
      <c r="K2416" t="e">
        <f>VLOOKUP(B2416,'REGISTRO ABONOS'!$B$8:$BC$10012,54,0)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2"/>
        <v>105000</v>
      </c>
      <c r="K2417" t="e">
        <f>VLOOKUP(B2417,'REGISTRO ABONOS'!$B$8:$BC$10012,54,0)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2"/>
        <v>105000</v>
      </c>
      <c r="K2418" t="e">
        <f>VLOOKUP(B2418,'REGISTRO ABONOS'!$B$8:$BC$10012,54,0)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2"/>
        <v>105000</v>
      </c>
      <c r="K2419" t="e">
        <f>VLOOKUP(B2419,'REGISTRO ABONOS'!$B$8:$BC$10012,54,0)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2"/>
        <v>105000</v>
      </c>
      <c r="K2420" t="e">
        <f>VLOOKUP(B2420,'REGISTRO ABONOS'!$B$8:$BC$10012,54,0)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2"/>
        <v>105000</v>
      </c>
      <c r="K2421" t="e">
        <f>VLOOKUP(B2421,'REGISTRO ABONOS'!$B$8:$BC$10012,54,0)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2"/>
        <v>105000</v>
      </c>
      <c r="K2422" t="e">
        <f>VLOOKUP(B2422,'REGISTRO ABONOS'!$B$8:$BC$10012,54,0)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2"/>
        <v>105000</v>
      </c>
      <c r="K2423" t="e">
        <f>VLOOKUP(B2423,'REGISTRO ABONOS'!$B$8:$BC$10012,54,0)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2"/>
        <v>105000</v>
      </c>
      <c r="K2424" t="e">
        <f>VLOOKUP(B2424,'REGISTRO ABONOS'!$B$8:$BC$10012,54,0)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2"/>
        <v>105000</v>
      </c>
      <c r="K2425" t="e">
        <f>VLOOKUP(B2425,'REGISTRO ABONOS'!$B$8:$BC$10012,54,0)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2"/>
        <v>105000</v>
      </c>
      <c r="K2426" t="e">
        <f>VLOOKUP(B2426,'REGISTRO ABONOS'!$B$8:$BC$10012,54,0)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2"/>
        <v>105000</v>
      </c>
      <c r="K2427" t="e">
        <f>VLOOKUP(B2427,'REGISTRO ABONOS'!$B$8:$BC$10012,54,0)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ABONOS'!$B$8:$BC$10012,54,0)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3"/>
        <v>105000</v>
      </c>
      <c r="K2429" t="e">
        <f>VLOOKUP(B2429,'REGISTRO ABONOS'!$B$8:$BC$10012,54,0)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3"/>
        <v>105000</v>
      </c>
      <c r="K2430" t="e">
        <f>VLOOKUP(B2430,'REGISTRO ABONOS'!$B$8:$BC$10012,54,0)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3"/>
        <v>105000</v>
      </c>
      <c r="K2431" t="e">
        <f>VLOOKUP(B2431,'REGISTRO ABONOS'!$B$8:$BC$10012,54,0)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3"/>
        <v>105000</v>
      </c>
      <c r="K2432" t="e">
        <f>VLOOKUP(B2432,'REGISTRO ABONOS'!$B$8:$BC$10012,54,0)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3"/>
        <v>105000</v>
      </c>
      <c r="K2433" t="e">
        <f>VLOOKUP(B2433,'REGISTRO ABONOS'!$B$8:$BC$10012,54,0)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3"/>
        <v>105000</v>
      </c>
      <c r="K2434" t="e">
        <f>VLOOKUP(B2434,'REGISTRO ABONOS'!$B$8:$BC$10012,54,0)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3"/>
        <v>105000</v>
      </c>
      <c r="K2435" t="e">
        <f>VLOOKUP(B2435,'REGISTRO ABONOS'!$B$8:$BC$10012,54,0)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3"/>
        <v>105000</v>
      </c>
      <c r="K2436" t="e">
        <f>VLOOKUP(B2436,'REGISTRO ABONOS'!$B$8:$BC$10012,54,0)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3"/>
        <v>105000</v>
      </c>
      <c r="K2437" t="e">
        <f>VLOOKUP(B2437,'REGISTRO ABONOS'!$B$8:$BC$10012,54,0)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3"/>
        <v>105000</v>
      </c>
      <c r="K2438" t="e">
        <f>VLOOKUP(B2438,'REGISTRO ABONOS'!$B$8:$BC$10012,54,0)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3"/>
        <v>105000</v>
      </c>
      <c r="K2439" t="e">
        <f>VLOOKUP(B2439,'REGISTRO ABONOS'!$B$8:$BC$10012,54,0)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3"/>
        <v>105000</v>
      </c>
      <c r="K2440" t="e">
        <f>VLOOKUP(B2440,'REGISTRO ABONOS'!$B$8:$BC$10012,54,0)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3"/>
        <v>105000</v>
      </c>
      <c r="K2441" t="e">
        <f>VLOOKUP(B2441,'REGISTRO ABONOS'!$B$8:$BC$10012,54,0)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3"/>
        <v>105000</v>
      </c>
      <c r="K2442" t="e">
        <f>VLOOKUP(B2442,'REGISTRO ABONOS'!$B$8:$BC$10012,54,0)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3"/>
        <v>105000</v>
      </c>
      <c r="K2443" t="e">
        <f>VLOOKUP(B2443,'REGISTRO ABONOS'!$B$8:$BC$10012,54,0)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3"/>
        <v>105000</v>
      </c>
      <c r="K2444" t="e">
        <f>VLOOKUP(B2444,'REGISTRO ABONOS'!$B$8:$BC$10012,54,0)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3"/>
        <v>105000</v>
      </c>
      <c r="K2445" t="e">
        <f>VLOOKUP(B2445,'REGISTRO ABONOS'!$B$8:$BC$10012,54,0)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3"/>
        <v>105000</v>
      </c>
      <c r="K2446" t="e">
        <f>VLOOKUP(B2446,'REGISTRO ABONOS'!$B$8:$BC$10012,54,0)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3"/>
        <v>105000</v>
      </c>
      <c r="K2447" t="e">
        <f>VLOOKUP(B2447,'REGISTRO ABONOS'!$B$8:$BC$10012,54,0)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3"/>
        <v>105000</v>
      </c>
      <c r="K2448" t="e">
        <f>VLOOKUP(B2448,'REGISTRO ABONOS'!$B$8:$BC$10012,54,0)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3"/>
        <v>105000</v>
      </c>
      <c r="K2449" t="e">
        <f>VLOOKUP(B2449,'REGISTRO ABONOS'!$B$8:$BC$10012,54,0)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3"/>
        <v>105000</v>
      </c>
      <c r="K2450" t="e">
        <f>VLOOKUP(B2450,'REGISTRO ABONOS'!$B$8:$BC$10012,54,0)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3"/>
        <v>105000</v>
      </c>
      <c r="K2451" t="e">
        <f>VLOOKUP(B2451,'REGISTRO ABONOS'!$B$8:$BC$10012,54,0)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3"/>
        <v>105000</v>
      </c>
      <c r="K2452" t="e">
        <f>VLOOKUP(B2452,'REGISTRO ABONOS'!$B$8:$BC$10012,54,0)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3"/>
        <v>105000</v>
      </c>
      <c r="K2453" t="e">
        <f>VLOOKUP(B2453,'REGISTRO ABONOS'!$B$8:$BC$10012,54,0)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3"/>
        <v>105000</v>
      </c>
      <c r="K2454" t="e">
        <f>VLOOKUP(B2454,'REGISTRO ABONOS'!$B$8:$BC$10012,54,0)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3"/>
        <v>105000</v>
      </c>
      <c r="K2455" t="e">
        <f>VLOOKUP(B2455,'REGISTRO ABONOS'!$B$8:$BC$10012,54,0)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3"/>
        <v>105000</v>
      </c>
      <c r="K2456" t="e">
        <f>VLOOKUP(B2456,'REGISTRO ABONOS'!$B$8:$BC$10012,54,0)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3"/>
        <v>105000</v>
      </c>
      <c r="K2457" t="e">
        <f>VLOOKUP(B2457,'REGISTRO ABONOS'!$B$8:$BC$10012,54,0)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3"/>
        <v>105000</v>
      </c>
      <c r="K2458" t="e">
        <f>VLOOKUP(B2458,'REGISTRO ABONOS'!$B$8:$BC$10012,54,0)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3"/>
        <v>105000</v>
      </c>
      <c r="K2459" t="e">
        <f>VLOOKUP(B2459,'REGISTRO ABONOS'!$B$8:$BC$10012,54,0)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3"/>
        <v>105000</v>
      </c>
      <c r="K2460" t="e">
        <f>VLOOKUP(B2460,'REGISTRO ABONOS'!$B$8:$BC$10012,54,0)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3"/>
        <v>105000</v>
      </c>
      <c r="K2461" t="e">
        <f>VLOOKUP(B2461,'REGISTRO ABONOS'!$B$8:$BC$10012,54,0)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J2462">
        <f t="shared" si="43"/>
        <v>105000</v>
      </c>
      <c r="K2462" t="e">
        <f>VLOOKUP(B2462,'REGISTRO ABONOS'!$B$8:$BC$10012,54,0)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3"/>
        <v>105000</v>
      </c>
      <c r="K2463" t="e">
        <f>VLOOKUP(B2463,'REGISTRO ABONOS'!$B$8:$BC$10012,54,0)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3"/>
        <v>105000</v>
      </c>
      <c r="K2464" t="e">
        <f>VLOOKUP(B2464,'REGISTRO ABONOS'!$B$8:$BC$10012,54,0)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3"/>
        <v>105000</v>
      </c>
      <c r="K2465" t="e">
        <f>VLOOKUP(B2465,'REGISTRO ABONOS'!$B$8:$BC$10012,54,0)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3"/>
        <v>105000</v>
      </c>
      <c r="K2466" t="e">
        <f>VLOOKUP(B2466,'REGISTRO ABONOS'!$B$8:$BC$10012,54,0)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3"/>
        <v>105000</v>
      </c>
      <c r="K2467" t="e">
        <f>VLOOKUP(B2467,'REGISTRO ABONOS'!$B$8:$BC$10012,54,0)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3"/>
        <v>105000</v>
      </c>
      <c r="K2468" t="e">
        <f>VLOOKUP(B2468,'REGISTRO ABONOS'!$B$8:$BC$10012,54,0)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3"/>
        <v>105000</v>
      </c>
      <c r="K2469" t="e">
        <f>VLOOKUP(B2469,'REGISTRO ABONOS'!$B$8:$BC$10012,54,0)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3"/>
        <v>105000</v>
      </c>
      <c r="K2470" t="e">
        <f>VLOOKUP(B2470,'REGISTRO ABONOS'!$B$8:$BC$10012,54,0)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3"/>
        <v>105000</v>
      </c>
      <c r="K2471" t="e">
        <f>VLOOKUP(B2471,'REGISTRO ABONOS'!$B$8:$BC$10012,54,0)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3"/>
        <v>105000</v>
      </c>
      <c r="K2472" t="e">
        <f>VLOOKUP(B2472,'REGISTRO ABONOS'!$B$8:$BC$10012,54,0)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3"/>
        <v>105000</v>
      </c>
      <c r="K2473" t="e">
        <f>VLOOKUP(B2473,'REGISTRO ABONOS'!$B$8:$BC$10012,54,0)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3"/>
        <v>105000</v>
      </c>
      <c r="K2474" t="e">
        <f>VLOOKUP(B2474,'REGISTRO ABONOS'!$B$8:$BC$10012,54,0)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3"/>
        <v>105000</v>
      </c>
      <c r="K2475" t="e">
        <f>VLOOKUP(B2475,'REGISTRO ABONOS'!$B$8:$BC$10012,54,0)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3"/>
        <v>105000</v>
      </c>
      <c r="K2476" t="e">
        <f>VLOOKUP(B2476,'REGISTRO ABONOS'!$B$8:$BC$10012,54,0)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3"/>
        <v>105000</v>
      </c>
      <c r="K2477" t="e">
        <f>VLOOKUP(B2477,'REGISTRO ABONOS'!$B$8:$BC$10012,54,0)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3"/>
        <v>105000</v>
      </c>
      <c r="K2478" t="e">
        <f>VLOOKUP(B2478,'REGISTRO ABONOS'!$B$8:$BC$10012,54,0)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3"/>
        <v>105000</v>
      </c>
      <c r="K2479" t="e">
        <f>VLOOKUP(B2479,'REGISTRO ABONOS'!$B$8:$BC$10012,54,0)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3"/>
        <v>105000</v>
      </c>
      <c r="K2480" t="e">
        <f>VLOOKUP(B2480,'REGISTRO ABONOS'!$B$8:$BC$10012,54,0)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3"/>
        <v>105000</v>
      </c>
      <c r="K2481" t="e">
        <f>VLOOKUP(B2481,'REGISTRO ABONOS'!$B$8:$BC$10012,54,0)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3"/>
        <v>105000</v>
      </c>
      <c r="K2482" t="e">
        <f>VLOOKUP(B2482,'REGISTRO ABONOS'!$B$8:$BC$10012,54,0)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3"/>
        <v>105000</v>
      </c>
      <c r="K2483" t="e">
        <f>VLOOKUP(B2483,'REGISTRO ABONOS'!$B$8:$BC$10012,54,0)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J2484">
        <f t="shared" si="43"/>
        <v>105000</v>
      </c>
      <c r="K2484" t="e">
        <f>VLOOKUP(B2484,'REGISTRO ABONOS'!$B$8:$BC$10012,54,0)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3"/>
        <v>105000</v>
      </c>
      <c r="K2485" t="e">
        <f>VLOOKUP(B2485,'REGISTRO ABONOS'!$B$8:$BC$10012,54,0)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3"/>
        <v>105000</v>
      </c>
      <c r="K2486" t="e">
        <f>VLOOKUP(B2486,'REGISTRO ABONOS'!$B$8:$BC$10012,54,0)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3"/>
        <v>105000</v>
      </c>
      <c r="K2487" t="e">
        <f>VLOOKUP(B2487,'REGISTRO ABONOS'!$B$8:$BC$10012,54,0)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3"/>
        <v>105000</v>
      </c>
      <c r="K2488" t="e">
        <f>VLOOKUP(B2488,'REGISTRO ABONOS'!$B$8:$BC$10012,54,0)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3"/>
        <v>105000</v>
      </c>
      <c r="K2489" t="e">
        <f>VLOOKUP(B2489,'REGISTRO ABONOS'!$B$8:$BC$10012,54,0)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3"/>
        <v>105000</v>
      </c>
      <c r="K2490" t="e">
        <f>VLOOKUP(B2490,'REGISTRO ABONOS'!$B$8:$BC$10012,54,0)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3"/>
        <v>105000</v>
      </c>
      <c r="K2491" t="e">
        <f>VLOOKUP(B2491,'REGISTRO ABONOS'!$B$8:$BC$10012,54,0)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ABONOS'!$B$8:$BC$10012,54,0)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4"/>
        <v>105000</v>
      </c>
      <c r="K2493" t="e">
        <f>VLOOKUP(B2493,'REGISTRO ABONOS'!$B$8:$BC$10012,54,0)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4"/>
        <v>105000</v>
      </c>
      <c r="K2494" t="e">
        <f>VLOOKUP(B2494,'REGISTRO ABONOS'!$B$8:$BC$10012,54,0)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4"/>
        <v>105000</v>
      </c>
      <c r="K2495" t="e">
        <f>VLOOKUP(B2495,'REGISTRO ABONOS'!$B$8:$BC$10012,54,0)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4"/>
        <v>105000</v>
      </c>
      <c r="K2496" t="e">
        <f>VLOOKUP(B2496,'REGISTRO ABONOS'!$B$8:$BC$10012,54,0)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4"/>
        <v>105000</v>
      </c>
      <c r="K2497" t="e">
        <f>VLOOKUP(B2497,'REGISTRO ABONOS'!$B$8:$BC$10012,54,0)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4"/>
        <v>105000</v>
      </c>
      <c r="K2498" t="e">
        <f>VLOOKUP(B2498,'REGISTRO ABONOS'!$B$8:$BC$10012,54,0)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4"/>
        <v>105000</v>
      </c>
      <c r="K2499" t="e">
        <f>VLOOKUP(B2499,'REGISTRO ABONOS'!$B$8:$BC$10012,54,0)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4"/>
        <v>105000</v>
      </c>
      <c r="K2500" t="e">
        <f>VLOOKUP(B2500,'REGISTRO ABONOS'!$B$8:$BC$10012,54,0)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4"/>
        <v>105000</v>
      </c>
      <c r="K2501" t="e">
        <f>VLOOKUP(B2501,'REGISTRO ABONOS'!$B$8:$BC$10012,54,0)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4"/>
        <v>105000</v>
      </c>
      <c r="K2502" t="e">
        <f>VLOOKUP(B2502,'REGISTRO ABONOS'!$B$8:$BC$10012,54,0)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4"/>
        <v>105000</v>
      </c>
      <c r="K2503" t="e">
        <f>VLOOKUP(B2503,'REGISTRO ABONOS'!$B$8:$BC$10012,54,0)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4"/>
        <v>105000</v>
      </c>
      <c r="K2504" t="e">
        <f>VLOOKUP(B2504,'REGISTRO ABONOS'!$B$8:$BC$10012,54,0)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4"/>
        <v>105000</v>
      </c>
      <c r="K2505" t="e">
        <f>VLOOKUP(B2505,'REGISTRO ABONOS'!$B$8:$BC$10012,54,0)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4"/>
        <v>105000</v>
      </c>
      <c r="K2506" t="e">
        <f>VLOOKUP(B2506,'REGISTRO ABONOS'!$B$8:$BC$10012,54,0)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4"/>
        <v>105000</v>
      </c>
      <c r="K2507" t="e">
        <f>VLOOKUP(B2507,'REGISTRO ABONOS'!$B$8:$BC$10012,54,0)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4"/>
        <v>105000</v>
      </c>
      <c r="K2508" t="e">
        <f>VLOOKUP(B2508,'REGISTRO ABONOS'!$B$8:$BC$10012,54,0)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4"/>
        <v>105000</v>
      </c>
      <c r="K2509" t="e">
        <f>VLOOKUP(B2509,'REGISTRO ABONOS'!$B$8:$BC$10012,54,0)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4"/>
        <v>105000</v>
      </c>
      <c r="K2510" t="e">
        <f>VLOOKUP(B2510,'REGISTRO ABONOS'!$B$8:$BC$10012,54,0)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4"/>
        <v>105000</v>
      </c>
      <c r="K2511" t="e">
        <f>VLOOKUP(B2511,'REGISTRO ABONOS'!$B$8:$BC$10012,54,0)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4"/>
        <v>105000</v>
      </c>
      <c r="K2512" t="e">
        <f>VLOOKUP(B2512,'REGISTRO ABONOS'!$B$8:$BC$10012,54,0)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4"/>
        <v>105000</v>
      </c>
      <c r="K2513" t="e">
        <f>VLOOKUP(B2513,'REGISTRO ABONOS'!$B$8:$BC$10012,54,0)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4"/>
        <v>105000</v>
      </c>
      <c r="K2514" t="e">
        <f>VLOOKUP(B2514,'REGISTRO ABONOS'!$B$8:$BC$10012,54,0)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4"/>
        <v>105000</v>
      </c>
      <c r="K2515" t="e">
        <f>VLOOKUP(B2515,'REGISTRO ABONOS'!$B$8:$BC$10012,54,0)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4"/>
        <v>105000</v>
      </c>
      <c r="K2516" t="e">
        <f>VLOOKUP(B2516,'REGISTRO ABONOS'!$B$8:$BC$10012,54,0)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4"/>
        <v>105000</v>
      </c>
      <c r="K2517" t="e">
        <f>VLOOKUP(B2517,'REGISTRO ABONOS'!$B$8:$BC$10012,54,0)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4"/>
        <v>105000</v>
      </c>
      <c r="K2518" t="e">
        <f>VLOOKUP(B2518,'REGISTRO ABONOS'!$B$8:$BC$10012,54,0)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4"/>
        <v>105000</v>
      </c>
      <c r="K2519" t="e">
        <f>VLOOKUP(B2519,'REGISTRO ABONOS'!$B$8:$BC$10012,54,0)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4"/>
        <v>105000</v>
      </c>
      <c r="K2520" t="e">
        <f>VLOOKUP(B2520,'REGISTRO ABONOS'!$B$8:$BC$10012,54,0)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4"/>
        <v>105000</v>
      </c>
      <c r="K2521" t="e">
        <f>VLOOKUP(B2521,'REGISTRO ABONOS'!$B$8:$BC$10012,54,0)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4"/>
        <v>105000</v>
      </c>
      <c r="K2522" t="e">
        <f>VLOOKUP(B2522,'REGISTRO ABONOS'!$B$8:$BC$10012,54,0)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4"/>
        <v>105000</v>
      </c>
      <c r="K2523" t="e">
        <f>VLOOKUP(B2523,'REGISTRO ABONOS'!$B$8:$BC$10012,54,0)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4"/>
        <v>105000</v>
      </c>
      <c r="K2524" t="e">
        <f>VLOOKUP(B2524,'REGISTRO ABONOS'!$B$8:$BC$10012,54,0)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4"/>
        <v>105000</v>
      </c>
      <c r="K2525" t="e">
        <f>VLOOKUP(B2525,'REGISTRO ABONOS'!$B$8:$BC$10012,54,0)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4"/>
        <v>105000</v>
      </c>
      <c r="K2526" t="e">
        <f>VLOOKUP(B2526,'REGISTRO ABONOS'!$B$8:$BC$10012,54,0)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4"/>
        <v>105000</v>
      </c>
      <c r="K2527" t="e">
        <f>VLOOKUP(B2527,'REGISTRO ABONOS'!$B$8:$BC$10012,54,0)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4"/>
        <v>105000</v>
      </c>
      <c r="K2528" t="e">
        <f>VLOOKUP(B2528,'REGISTRO ABONOS'!$B$8:$BC$10012,54,0)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4"/>
        <v>105000</v>
      </c>
      <c r="K2529" t="e">
        <f>VLOOKUP(B2529,'REGISTRO ABONOS'!$B$8:$BC$10012,54,0)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4"/>
        <v>105000</v>
      </c>
      <c r="K2530" t="e">
        <f>VLOOKUP(B2530,'REGISTRO ABONOS'!$B$8:$BC$10012,54,0)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4"/>
        <v>105000</v>
      </c>
      <c r="K2531" t="e">
        <f>VLOOKUP(B2531,'REGISTRO ABONOS'!$B$8:$BC$10012,54,0)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4"/>
        <v>105000</v>
      </c>
      <c r="K2532" t="e">
        <f>VLOOKUP(B2532,'REGISTRO ABONOS'!$B$8:$BC$10012,54,0)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4"/>
        <v>105000</v>
      </c>
      <c r="K2533" t="e">
        <f>VLOOKUP(B2533,'REGISTRO ABONOS'!$B$8:$BC$10012,54,0)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4"/>
        <v>105000</v>
      </c>
      <c r="K2534" t="e">
        <f>VLOOKUP(B2534,'REGISTRO ABONOS'!$B$8:$BC$10012,54,0)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4"/>
        <v>105000</v>
      </c>
      <c r="K2535" t="e">
        <f>VLOOKUP(B2535,'REGISTRO ABONOS'!$B$8:$BC$10012,54,0)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4"/>
        <v>105000</v>
      </c>
      <c r="K2536" t="e">
        <f>VLOOKUP(B2536,'REGISTRO ABONOS'!$B$8:$BC$10012,54,0)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4"/>
        <v>105000</v>
      </c>
      <c r="K2537" t="e">
        <f>VLOOKUP(B2537,'REGISTRO ABONOS'!$B$8:$BC$10012,54,0)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4"/>
        <v>105000</v>
      </c>
      <c r="K2538" t="e">
        <f>VLOOKUP(B2538,'REGISTRO ABONOS'!$B$8:$BC$10012,54,0)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4"/>
        <v>105000</v>
      </c>
      <c r="K2539" t="e">
        <f>VLOOKUP(B2539,'REGISTRO ABONOS'!$B$8:$BC$10012,54,0)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4"/>
        <v>105000</v>
      </c>
      <c r="K2540" t="e">
        <f>VLOOKUP(B2540,'REGISTRO ABONOS'!$B$8:$BC$10012,54,0)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4"/>
        <v>105000</v>
      </c>
      <c r="K2541" t="e">
        <f>VLOOKUP(B2541,'REGISTRO ABONOS'!$B$8:$BC$10012,54,0)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4"/>
        <v>105000</v>
      </c>
      <c r="K2542" t="e">
        <f>VLOOKUP(B2542,'REGISTRO ABONOS'!$B$8:$BC$10012,54,0)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4"/>
        <v>105000</v>
      </c>
      <c r="K2543" t="e">
        <f>VLOOKUP(B2543,'REGISTRO ABONOS'!$B$8:$BC$10012,54,0)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4"/>
        <v>105000</v>
      </c>
      <c r="K2544" t="e">
        <f>VLOOKUP(B2544,'REGISTRO ABONOS'!$B$8:$BC$10012,54,0)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4"/>
        <v>105000</v>
      </c>
      <c r="K2545" t="e">
        <f>VLOOKUP(B2545,'REGISTRO ABONOS'!$B$8:$BC$10012,54,0)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4"/>
        <v>105000</v>
      </c>
      <c r="K2546" t="e">
        <f>VLOOKUP(B2546,'REGISTRO ABONOS'!$B$8:$BC$10012,54,0)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4"/>
        <v>105000</v>
      </c>
      <c r="K2547" t="e">
        <f>VLOOKUP(B2547,'REGISTRO ABONOS'!$B$8:$BC$10012,54,0)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4"/>
        <v>105000</v>
      </c>
      <c r="K2548" t="e">
        <f>VLOOKUP(B2548,'REGISTRO ABONOS'!$B$8:$BC$10012,54,0)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4"/>
        <v>105000</v>
      </c>
      <c r="K2549" t="e">
        <f>VLOOKUP(B2549,'REGISTRO ABONOS'!$B$8:$BC$10012,54,0)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4"/>
        <v>105000</v>
      </c>
      <c r="K2550" t="e">
        <f>VLOOKUP(B2550,'REGISTRO ABONOS'!$B$8:$BC$10012,54,0)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4"/>
        <v>105000</v>
      </c>
      <c r="K2551" t="e">
        <f>VLOOKUP(B2551,'REGISTRO ABONOS'!$B$8:$BC$10012,54,0)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4"/>
        <v>105000</v>
      </c>
      <c r="K2552" t="e">
        <f>VLOOKUP(B2552,'REGISTRO ABONOS'!$B$8:$BC$10012,54,0)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4"/>
        <v>105000</v>
      </c>
      <c r="K2553" t="e">
        <f>VLOOKUP(B2553,'REGISTRO ABONOS'!$B$8:$BC$10012,54,0)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4"/>
        <v>105000</v>
      </c>
      <c r="K2554" t="e">
        <f>VLOOKUP(B2554,'REGISTRO ABONOS'!$B$8:$BC$10012,54,0)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4"/>
        <v>105000</v>
      </c>
      <c r="K2555" t="e">
        <f>VLOOKUP(B2555,'REGISTRO ABONOS'!$B$8:$BC$10012,54,0)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ABONOS'!$B$8:$BC$10012,54,0)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5"/>
        <v>105000</v>
      </c>
      <c r="K2557" t="e">
        <f>VLOOKUP(B2557,'REGISTRO ABONOS'!$B$8:$BC$10012,54,0)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5"/>
        <v>105000</v>
      </c>
      <c r="K2558" t="e">
        <f>VLOOKUP(B2558,'REGISTRO ABONOS'!$B$8:$BC$10012,54,0)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5"/>
        <v>105000</v>
      </c>
      <c r="K2559" t="e">
        <f>VLOOKUP(B2559,'REGISTRO ABONOS'!$B$8:$BC$10012,54,0)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5"/>
        <v>105000</v>
      </c>
      <c r="K2560" t="e">
        <f>VLOOKUP(B2560,'REGISTRO ABONOS'!$B$8:$BC$10012,54,0)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5"/>
        <v>105000</v>
      </c>
      <c r="K2561" t="e">
        <f>VLOOKUP(B2561,'REGISTRO ABONOS'!$B$8:$BC$10012,54,0)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5"/>
        <v>105000</v>
      </c>
      <c r="K2562" t="e">
        <f>VLOOKUP(B2562,'REGISTRO ABONOS'!$B$8:$BC$10012,54,0)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5"/>
        <v>105000</v>
      </c>
      <c r="K2563" t="e">
        <f>VLOOKUP(B2563,'REGISTRO ABONOS'!$B$8:$BC$10012,54,0)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5"/>
        <v>105000</v>
      </c>
      <c r="K2564" t="e">
        <f>VLOOKUP(B2564,'REGISTRO ABONOS'!$B$8:$BC$10012,54,0)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5"/>
        <v>105000</v>
      </c>
      <c r="K2565" t="e">
        <f>VLOOKUP(B2565,'REGISTRO ABONOS'!$B$8:$BC$10012,54,0)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5"/>
        <v>105000</v>
      </c>
      <c r="K2566" t="e">
        <f>VLOOKUP(B2566,'REGISTRO ABONOS'!$B$8:$BC$10012,54,0)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5"/>
        <v>105000</v>
      </c>
      <c r="K2567" t="e">
        <f>VLOOKUP(B2567,'REGISTRO ABONOS'!$B$8:$BC$10012,54,0)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5"/>
        <v>105000</v>
      </c>
      <c r="K2568" t="e">
        <f>VLOOKUP(B2568,'REGISTRO ABONOS'!$B$8:$BC$10012,54,0)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5"/>
        <v>105000</v>
      </c>
      <c r="K2569" t="e">
        <f>VLOOKUP(B2569,'REGISTRO ABONOS'!$B$8:$BC$10012,54,0)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5"/>
        <v>105000</v>
      </c>
      <c r="K2570" t="e">
        <f>VLOOKUP(B2570,'REGISTRO ABONOS'!$B$8:$BC$10012,54,0)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5"/>
        <v>105000</v>
      </c>
      <c r="K2571" t="e">
        <f>VLOOKUP(B2571,'REGISTRO ABONOS'!$B$8:$BC$10012,54,0)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J2572">
        <f t="shared" si="45"/>
        <v>105000</v>
      </c>
      <c r="K2572" t="e">
        <f>VLOOKUP(B2572,'REGISTRO ABONOS'!$B$8:$BC$10012,54,0)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5"/>
        <v>105000</v>
      </c>
      <c r="K2573" t="e">
        <f>VLOOKUP(B2573,'REGISTRO ABONOS'!$B$8:$BC$10012,54,0)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5"/>
        <v>105000</v>
      </c>
      <c r="K2574" t="e">
        <f>VLOOKUP(B2574,'REGISTRO ABONOS'!$B$8:$BC$10012,54,0)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5"/>
        <v>105000</v>
      </c>
      <c r="K2575" t="e">
        <f>VLOOKUP(B2575,'REGISTRO ABONOS'!$B$8:$BC$10012,54,0)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5"/>
        <v>105000</v>
      </c>
      <c r="K2576" t="e">
        <f>VLOOKUP(B2576,'REGISTRO ABONOS'!$B$8:$BC$10012,54,0)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5"/>
        <v>105000</v>
      </c>
      <c r="K2577" t="e">
        <f>VLOOKUP(B2577,'REGISTRO ABONOS'!$B$8:$BC$10012,54,0)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5"/>
        <v>105000</v>
      </c>
      <c r="K2578" t="e">
        <f>VLOOKUP(B2578,'REGISTRO ABONOS'!$B$8:$BC$10012,54,0)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5"/>
        <v>105000</v>
      </c>
      <c r="K2579" t="e">
        <f>VLOOKUP(B2579,'REGISTRO ABONOS'!$B$8:$BC$10012,54,0)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5"/>
        <v>105000</v>
      </c>
      <c r="K2580" t="e">
        <f>VLOOKUP(B2580,'REGISTRO ABONOS'!$B$8:$BC$10012,54,0)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5"/>
        <v>105000</v>
      </c>
      <c r="K2581" t="e">
        <f>VLOOKUP(B2581,'REGISTRO ABONOS'!$B$8:$BC$10012,54,0)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5"/>
        <v>105000</v>
      </c>
      <c r="K2582" t="e">
        <f>VLOOKUP(B2582,'REGISTRO ABONOS'!$B$8:$BC$10012,54,0)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5"/>
        <v>105000</v>
      </c>
      <c r="K2583" t="e">
        <f>VLOOKUP(B2583,'REGISTRO ABONOS'!$B$8:$BC$10012,54,0)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5"/>
        <v>105000</v>
      </c>
      <c r="K2584" t="e">
        <f>VLOOKUP(B2584,'REGISTRO ABONOS'!$B$8:$BC$10012,54,0)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5"/>
        <v>105000</v>
      </c>
      <c r="K2585" t="e">
        <f>VLOOKUP(B2585,'REGISTRO ABONOS'!$B$8:$BC$10012,54,0)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5"/>
        <v>105000</v>
      </c>
      <c r="K2586" t="e">
        <f>VLOOKUP(B2586,'REGISTRO ABONOS'!$B$8:$BC$10012,54,0)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5"/>
        <v>105000</v>
      </c>
      <c r="K2587" t="e">
        <f>VLOOKUP(B2587,'REGISTRO ABONOS'!$B$8:$BC$10012,54,0)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5"/>
        <v>105000</v>
      </c>
      <c r="K2588" t="e">
        <f>VLOOKUP(B2588,'REGISTRO ABONOS'!$B$8:$BC$10012,54,0)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5"/>
        <v>105000</v>
      </c>
      <c r="K2589" t="e">
        <f>VLOOKUP(B2589,'REGISTRO ABONOS'!$B$8:$BC$10012,54,0)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5"/>
        <v>105000</v>
      </c>
      <c r="K2590" t="e">
        <f>VLOOKUP(B2590,'REGISTRO ABONOS'!$B$8:$BC$10012,54,0)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5"/>
        <v>105000</v>
      </c>
      <c r="K2591" t="e">
        <f>VLOOKUP(B2591,'REGISTRO ABONOS'!$B$8:$BC$10012,54,0)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5"/>
        <v>105000</v>
      </c>
      <c r="K2592" t="e">
        <f>VLOOKUP(B2592,'REGISTRO ABONOS'!$B$8:$BC$10012,54,0)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5"/>
        <v>105000</v>
      </c>
      <c r="K2593" t="e">
        <f>VLOOKUP(B2593,'REGISTRO ABONOS'!$B$8:$BC$10012,54,0)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5"/>
        <v>105000</v>
      </c>
      <c r="K2594" t="e">
        <f>VLOOKUP(B2594,'REGISTRO ABONOS'!$B$8:$BC$10012,54,0)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5"/>
        <v>105000</v>
      </c>
      <c r="K2595" t="e">
        <f>VLOOKUP(B2595,'REGISTRO ABONOS'!$B$8:$BC$10012,54,0)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5"/>
        <v>105000</v>
      </c>
      <c r="K2596" t="e">
        <f>VLOOKUP(B2596,'REGISTRO ABONOS'!$B$8:$BC$10012,54,0)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5"/>
        <v>105000</v>
      </c>
      <c r="K2597" t="e">
        <f>VLOOKUP(B2597,'REGISTRO ABONOS'!$B$8:$BC$10012,54,0)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5"/>
        <v>105000</v>
      </c>
      <c r="K2598" t="e">
        <f>VLOOKUP(B2598,'REGISTRO ABONOS'!$B$8:$BC$10012,54,0)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5"/>
        <v>105000</v>
      </c>
      <c r="K2599" t="e">
        <f>VLOOKUP(B2599,'REGISTRO ABONOS'!$B$8:$BC$10012,54,0)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5"/>
        <v>105000</v>
      </c>
      <c r="K2600" t="e">
        <f>VLOOKUP(B2600,'REGISTRO ABONOS'!$B$8:$BC$10012,54,0)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5"/>
        <v>105000</v>
      </c>
      <c r="K2601" t="e">
        <f>VLOOKUP(B2601,'REGISTRO ABONOS'!$B$8:$BC$10012,54,0)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5"/>
        <v>105000</v>
      </c>
      <c r="K2602" t="e">
        <f>VLOOKUP(B2602,'REGISTRO ABONOS'!$B$8:$BC$10012,54,0)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5"/>
        <v>105000</v>
      </c>
      <c r="K2603" t="e">
        <f>VLOOKUP(B2603,'REGISTRO ABONOS'!$B$8:$BC$10012,54,0)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5"/>
        <v>105000</v>
      </c>
      <c r="K2604" t="e">
        <f>VLOOKUP(B2604,'REGISTRO ABONOS'!$B$8:$BC$10012,54,0)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5"/>
        <v>105000</v>
      </c>
      <c r="K2605" t="e">
        <f>VLOOKUP(B2605,'REGISTRO ABONOS'!$B$8:$BC$10012,54,0)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5"/>
        <v>105000</v>
      </c>
      <c r="K2606" t="e">
        <f>VLOOKUP(B2606,'REGISTRO ABONOS'!$B$8:$BC$10012,54,0)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5"/>
        <v>105000</v>
      </c>
      <c r="K2607" t="e">
        <f>VLOOKUP(B2607,'REGISTRO ABONOS'!$B$8:$BC$10012,54,0)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5"/>
        <v>105000</v>
      </c>
      <c r="K2608" t="e">
        <f>VLOOKUP(B2608,'REGISTRO ABONOS'!$B$8:$BC$10012,54,0)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5"/>
        <v>105000</v>
      </c>
      <c r="K2609" t="e">
        <f>VLOOKUP(B2609,'REGISTRO ABONOS'!$B$8:$BC$10012,54,0)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5"/>
        <v>105000</v>
      </c>
      <c r="K2610" t="e">
        <f>VLOOKUP(B2610,'REGISTRO ABONOS'!$B$8:$BC$10012,54,0)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5"/>
        <v>105000</v>
      </c>
      <c r="K2611" t="e">
        <f>VLOOKUP(B2611,'REGISTRO ABONOS'!$B$8:$BC$10012,54,0)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5"/>
        <v>105000</v>
      </c>
      <c r="K2612" t="e">
        <f>VLOOKUP(B2612,'REGISTRO ABONOS'!$B$8:$BC$10012,54,0)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5"/>
        <v>105000</v>
      </c>
      <c r="K2613" t="e">
        <f>VLOOKUP(B2613,'REGISTRO ABONOS'!$B$8:$BC$10012,54,0)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5"/>
        <v>105000</v>
      </c>
      <c r="K2614" t="e">
        <f>VLOOKUP(B2614,'REGISTRO ABONOS'!$B$8:$BC$10012,54,0)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5"/>
        <v>105000</v>
      </c>
      <c r="K2615" t="e">
        <f>VLOOKUP(B2615,'REGISTRO ABONOS'!$B$8:$BC$10012,54,0)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5"/>
        <v>105000</v>
      </c>
      <c r="K2616" t="e">
        <f>VLOOKUP(B2616,'REGISTRO ABONOS'!$B$8:$BC$10012,54,0)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5"/>
        <v>105000</v>
      </c>
      <c r="K2617" t="e">
        <f>VLOOKUP(B2617,'REGISTRO ABONOS'!$B$8:$BC$10012,54,0)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5"/>
        <v>105000</v>
      </c>
      <c r="K2618" t="e">
        <f>VLOOKUP(B2618,'REGISTRO ABONOS'!$B$8:$BC$10012,54,0)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5"/>
        <v>105000</v>
      </c>
      <c r="K2619" t="e">
        <f>VLOOKUP(B2619,'REGISTRO ABONOS'!$B$8:$BC$10012,54,0)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ABONOS'!$B$8:$BC$10012,54,0)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6"/>
        <v>105000</v>
      </c>
      <c r="K2621" t="e">
        <f>VLOOKUP(B2621,'REGISTRO ABONOS'!$B$8:$BC$10012,54,0)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J2622">
        <f t="shared" si="46"/>
        <v>105000</v>
      </c>
      <c r="K2622" t="e">
        <f>VLOOKUP(B2622,'REGISTRO ABONOS'!$B$8:$BC$10012,54,0)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6"/>
        <v>105000</v>
      </c>
      <c r="K2623" t="e">
        <f>VLOOKUP(B2623,'REGISTRO ABONOS'!$B$8:$BC$10012,54,0)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6"/>
        <v>105000</v>
      </c>
      <c r="K2624" t="e">
        <f>VLOOKUP(B2624,'REGISTRO ABONOS'!$B$8:$BC$10012,54,0)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6"/>
        <v>105000</v>
      </c>
      <c r="K2625" t="e">
        <f>VLOOKUP(B2625,'REGISTRO ABONOS'!$B$8:$BC$10012,54,0)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6"/>
        <v>105000</v>
      </c>
      <c r="K2626" t="e">
        <f>VLOOKUP(B2626,'REGISTRO ABONOS'!$B$8:$BC$10012,54,0)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6"/>
        <v>105000</v>
      </c>
      <c r="K2627" t="e">
        <f>VLOOKUP(B2627,'REGISTRO ABONOS'!$B$8:$BC$10012,54,0)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6"/>
        <v>105000</v>
      </c>
      <c r="K2628" t="e">
        <f>VLOOKUP(B2628,'REGISTRO ABONOS'!$B$8:$BC$10012,54,0)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6"/>
        <v>105000</v>
      </c>
      <c r="K2629" t="e">
        <f>VLOOKUP(B2629,'REGISTRO ABONOS'!$B$8:$BC$10012,54,0)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6"/>
        <v>105000</v>
      </c>
      <c r="K2630" t="e">
        <f>VLOOKUP(B2630,'REGISTRO ABONOS'!$B$8:$BC$10012,54,0)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6"/>
        <v>105000</v>
      </c>
      <c r="K2631" t="e">
        <f>VLOOKUP(B2631,'REGISTRO ABONOS'!$B$8:$BC$10012,54,0)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6"/>
        <v>105000</v>
      </c>
      <c r="K2632" t="e">
        <f>VLOOKUP(B2632,'REGISTRO ABONOS'!$B$8:$BC$10012,54,0)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6"/>
        <v>105000</v>
      </c>
      <c r="K2633" t="e">
        <f>VLOOKUP(B2633,'REGISTRO ABONOS'!$B$8:$BC$10012,54,0)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6"/>
        <v>105000</v>
      </c>
      <c r="K2634" t="e">
        <f>VLOOKUP(B2634,'REGISTRO ABONOS'!$B$8:$BC$10012,54,0)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6"/>
        <v>105000</v>
      </c>
      <c r="K2635" t="e">
        <f>VLOOKUP(B2635,'REGISTRO ABONOS'!$B$8:$BC$10012,54,0)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6"/>
        <v>105000</v>
      </c>
      <c r="K2636" t="e">
        <f>VLOOKUP(B2636,'REGISTRO ABONOS'!$B$8:$BC$10012,54,0)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6"/>
        <v>105000</v>
      </c>
      <c r="K2637" t="e">
        <f>VLOOKUP(B2637,'REGISTRO ABONOS'!$B$8:$BC$10012,54,0)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J2638">
        <f t="shared" si="46"/>
        <v>105000</v>
      </c>
      <c r="K2638" t="e">
        <f>VLOOKUP(B2638,'REGISTRO ABONOS'!$B$8:$BC$10012,54,0)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6"/>
        <v>105000</v>
      </c>
      <c r="K2639" t="e">
        <f>VLOOKUP(B2639,'REGISTRO ABONOS'!$B$8:$BC$10012,54,0)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6"/>
        <v>105000</v>
      </c>
      <c r="K2640" t="e">
        <f>VLOOKUP(B2640,'REGISTRO ABONOS'!$B$8:$BC$10012,54,0)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6"/>
        <v>105000</v>
      </c>
      <c r="K2641" t="e">
        <f>VLOOKUP(B2641,'REGISTRO ABONOS'!$B$8:$BC$10012,54,0)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6"/>
        <v>105000</v>
      </c>
      <c r="K2642" t="e">
        <f>VLOOKUP(B2642,'REGISTRO ABONOS'!$B$8:$BC$10012,54,0)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6"/>
        <v>105000</v>
      </c>
      <c r="K2643" t="e">
        <f>VLOOKUP(B2643,'REGISTRO ABONOS'!$B$8:$BC$10012,54,0)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6"/>
        <v>105000</v>
      </c>
      <c r="K2644" t="e">
        <f>VLOOKUP(B2644,'REGISTRO ABONOS'!$B$8:$BC$10012,54,0)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6"/>
        <v>105000</v>
      </c>
      <c r="K2645" t="e">
        <f>VLOOKUP(B2645,'REGISTRO ABONOS'!$B$8:$BC$10012,54,0)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6"/>
        <v>105000</v>
      </c>
      <c r="K2646" t="e">
        <f>VLOOKUP(B2646,'REGISTRO ABONOS'!$B$8:$BC$10012,54,0)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6"/>
        <v>105000</v>
      </c>
      <c r="K2647" t="e">
        <f>VLOOKUP(B2647,'REGISTRO ABONOS'!$B$8:$BC$10012,54,0)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6"/>
        <v>105000</v>
      </c>
      <c r="K2648" t="e">
        <f>VLOOKUP(B2648,'REGISTRO ABONOS'!$B$8:$BC$10012,54,0)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6"/>
        <v>105000</v>
      </c>
      <c r="K2649" t="e">
        <f>VLOOKUP(B2649,'REGISTRO ABONOS'!$B$8:$BC$10012,54,0)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6"/>
        <v>105000</v>
      </c>
      <c r="K2650" t="e">
        <f>VLOOKUP(B2650,'REGISTRO ABONOS'!$B$8:$BC$10012,54,0)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6"/>
        <v>105000</v>
      </c>
      <c r="K2651" t="e">
        <f>VLOOKUP(B2651,'REGISTRO ABONOS'!$B$8:$BC$10012,54,0)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6"/>
        <v>105000</v>
      </c>
      <c r="K2652" t="e">
        <f>VLOOKUP(B2652,'REGISTRO ABONOS'!$B$8:$BC$10012,54,0)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6"/>
        <v>105000</v>
      </c>
      <c r="K2653" t="e">
        <f>VLOOKUP(B2653,'REGISTRO ABONOS'!$B$8:$BC$10012,54,0)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6"/>
        <v>105000</v>
      </c>
      <c r="K2654" t="e">
        <f>VLOOKUP(B2654,'REGISTRO ABONOS'!$B$8:$BC$10012,54,0)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6"/>
        <v>105000</v>
      </c>
      <c r="K2655" t="e">
        <f>VLOOKUP(B2655,'REGISTRO ABONOS'!$B$8:$BC$10012,54,0)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6"/>
        <v>105000</v>
      </c>
      <c r="K2656" t="e">
        <f>VLOOKUP(B2656,'REGISTRO ABONOS'!$B$8:$BC$10012,54,0)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6"/>
        <v>105000</v>
      </c>
      <c r="K2657" t="e">
        <f>VLOOKUP(B2657,'REGISTRO ABONOS'!$B$8:$BC$10012,54,0)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6"/>
        <v>105000</v>
      </c>
      <c r="K2658" t="e">
        <f>VLOOKUP(B2658,'REGISTRO ABONOS'!$B$8:$BC$10012,54,0)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6"/>
        <v>105000</v>
      </c>
      <c r="K2659" t="e">
        <f>VLOOKUP(B2659,'REGISTRO ABONOS'!$B$8:$BC$10012,54,0)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6"/>
        <v>105000</v>
      </c>
      <c r="K2660" t="e">
        <f>VLOOKUP(B2660,'REGISTRO ABONOS'!$B$8:$BC$10012,54,0)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6"/>
        <v>105000</v>
      </c>
      <c r="K2661" t="e">
        <f>VLOOKUP(B2661,'REGISTRO ABONOS'!$B$8:$BC$10012,54,0)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6"/>
        <v>105000</v>
      </c>
      <c r="K2662" t="e">
        <f>VLOOKUP(B2662,'REGISTRO ABONOS'!$B$8:$BC$10012,54,0)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6"/>
        <v>105000</v>
      </c>
      <c r="K2663" t="e">
        <f>VLOOKUP(B2663,'REGISTRO ABONOS'!$B$8:$BC$10012,54,0)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6"/>
        <v>105000</v>
      </c>
      <c r="K2664" t="e">
        <f>VLOOKUP(B2664,'REGISTRO ABONOS'!$B$8:$BC$10012,54,0)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6"/>
        <v>105000</v>
      </c>
      <c r="K2665" t="e">
        <f>VLOOKUP(B2665,'REGISTRO ABONOS'!$B$8:$BC$10012,54,0)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6"/>
        <v>105000</v>
      </c>
      <c r="K2666" t="e">
        <f>VLOOKUP(B2666,'REGISTRO ABONOS'!$B$8:$BC$10012,54,0)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6"/>
        <v>105000</v>
      </c>
      <c r="K2667" t="e">
        <f>VLOOKUP(B2667,'REGISTRO ABONOS'!$B$8:$BC$10012,54,0)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6"/>
        <v>105000</v>
      </c>
      <c r="K2668" t="e">
        <f>VLOOKUP(B2668,'REGISTRO ABONOS'!$B$8:$BC$10012,54,0)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6"/>
        <v>105000</v>
      </c>
      <c r="K2669" t="e">
        <f>VLOOKUP(B2669,'REGISTRO ABONOS'!$B$8:$BC$10012,54,0)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6"/>
        <v>105000</v>
      </c>
      <c r="K2670" t="e">
        <f>VLOOKUP(B2670,'REGISTRO ABONOS'!$B$8:$BC$10012,54,0)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6"/>
        <v>105000</v>
      </c>
      <c r="K2671" t="e">
        <f>VLOOKUP(B2671,'REGISTRO ABONOS'!$B$8:$BC$10012,54,0)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6"/>
        <v>105000</v>
      </c>
      <c r="K2672" t="e">
        <f>VLOOKUP(B2672,'REGISTRO ABONOS'!$B$8:$BC$10012,54,0)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6"/>
        <v>105000</v>
      </c>
      <c r="K2673" t="e">
        <f>VLOOKUP(B2673,'REGISTRO ABONOS'!$B$8:$BC$10012,54,0)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6"/>
        <v>105000</v>
      </c>
      <c r="K2674" t="e">
        <f>VLOOKUP(B2674,'REGISTRO ABONOS'!$B$8:$BC$10012,54,0)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6"/>
        <v>105000</v>
      </c>
      <c r="K2675" t="e">
        <f>VLOOKUP(B2675,'REGISTRO ABONOS'!$B$8:$BC$10012,54,0)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6"/>
        <v>105000</v>
      </c>
      <c r="K2676" t="e">
        <f>VLOOKUP(B2676,'REGISTRO ABONOS'!$B$8:$BC$10012,54,0)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6"/>
        <v>105000</v>
      </c>
      <c r="K2677" t="e">
        <f>VLOOKUP(B2677,'REGISTRO ABONOS'!$B$8:$BC$10012,54,0)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6"/>
        <v>105000</v>
      </c>
      <c r="K2678" t="e">
        <f>VLOOKUP(B2678,'REGISTRO ABONOS'!$B$8:$BC$10012,54,0)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6"/>
        <v>105000</v>
      </c>
      <c r="K2679" t="e">
        <f>VLOOKUP(B2679,'REGISTRO ABONOS'!$B$8:$BC$10012,54,0)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6"/>
        <v>105000</v>
      </c>
      <c r="K2680" t="e">
        <f>VLOOKUP(B2680,'REGISTRO ABONOS'!$B$8:$BC$10012,54,0)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6"/>
        <v>105000</v>
      </c>
      <c r="K2681" t="e">
        <f>VLOOKUP(B2681,'REGISTRO ABONOS'!$B$8:$BC$10012,54,0)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6"/>
        <v>105000</v>
      </c>
      <c r="K2682" t="e">
        <f>VLOOKUP(B2682,'REGISTRO ABONOS'!$B$8:$BC$10012,54,0)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6"/>
        <v>105000</v>
      </c>
      <c r="K2683" t="e">
        <f>VLOOKUP(B2683,'REGISTRO ABONOS'!$B$8:$BC$10012,54,0)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ABONOS'!$B$8:$BC$10012,54,0)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7"/>
        <v>105000</v>
      </c>
      <c r="K2685" t="e">
        <f>VLOOKUP(B2685,'REGISTRO ABONOS'!$B$8:$BC$10012,54,0)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7"/>
        <v>105000</v>
      </c>
      <c r="K2686" t="e">
        <f>VLOOKUP(B2686,'REGISTRO ABONOS'!$B$8:$BC$10012,54,0)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7"/>
        <v>105000</v>
      </c>
      <c r="K2687" t="e">
        <f>VLOOKUP(B2687,'REGISTRO ABONOS'!$B$8:$BC$10012,54,0)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7"/>
        <v>105000</v>
      </c>
      <c r="K2688" t="e">
        <f>VLOOKUP(B2688,'REGISTRO ABONOS'!$B$8:$BC$10012,54,0)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7"/>
        <v>105000</v>
      </c>
      <c r="K2689" t="e">
        <f>VLOOKUP(B2689,'REGISTRO ABONOS'!$B$8:$BC$10012,54,0)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7"/>
        <v>105000</v>
      </c>
      <c r="K2690" t="e">
        <f>VLOOKUP(B2690,'REGISTRO ABONOS'!$B$8:$BC$10012,54,0)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7"/>
        <v>105000</v>
      </c>
      <c r="K2691" t="e">
        <f>VLOOKUP(B2691,'REGISTRO ABONOS'!$B$8:$BC$10012,54,0)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7"/>
        <v>105000</v>
      </c>
      <c r="K2692" t="e">
        <f>VLOOKUP(B2692,'REGISTRO ABONOS'!$B$8:$BC$10012,54,0)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7"/>
        <v>105000</v>
      </c>
      <c r="K2693" t="e">
        <f>VLOOKUP(B2693,'REGISTRO ABONOS'!$B$8:$BC$10012,54,0)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7"/>
        <v>105000</v>
      </c>
      <c r="K2694" t="e">
        <f>VLOOKUP(B2694,'REGISTRO ABONOS'!$B$8:$BC$10012,54,0)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7"/>
        <v>105000</v>
      </c>
      <c r="K2695" t="e">
        <f>VLOOKUP(B2695,'REGISTRO ABONOS'!$B$8:$BC$10012,54,0)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7"/>
        <v>105000</v>
      </c>
      <c r="K2696" t="e">
        <f>VLOOKUP(B2696,'REGISTRO ABONOS'!$B$8:$BC$10012,54,0)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7"/>
        <v>105000</v>
      </c>
      <c r="K2697" t="e">
        <f>VLOOKUP(B2697,'REGISTRO ABONOS'!$B$8:$BC$10012,54,0)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7"/>
        <v>105000</v>
      </c>
      <c r="K2698" t="e">
        <f>VLOOKUP(B2698,'REGISTRO ABONOS'!$B$8:$BC$10012,54,0)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7"/>
        <v>105000</v>
      </c>
      <c r="K2699" t="e">
        <f>VLOOKUP(B2699,'REGISTRO ABONOS'!$B$8:$BC$10012,54,0)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7"/>
        <v>105000</v>
      </c>
      <c r="K2700" t="e">
        <f>VLOOKUP(B2700,'REGISTRO ABONOS'!$B$8:$BC$10012,54,0)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7"/>
        <v>105000</v>
      </c>
      <c r="K2701" t="e">
        <f>VLOOKUP(B2701,'REGISTRO ABONOS'!$B$8:$BC$10012,54,0)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7"/>
        <v>105000</v>
      </c>
      <c r="K2702" t="e">
        <f>VLOOKUP(B2702,'REGISTRO ABONOS'!$B$8:$BC$10012,54,0)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7"/>
        <v>105000</v>
      </c>
      <c r="K2703" t="e">
        <f>VLOOKUP(B2703,'REGISTRO ABONOS'!$B$8:$BC$10012,54,0)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7"/>
        <v>105000</v>
      </c>
      <c r="K2704" t="e">
        <f>VLOOKUP(B2704,'REGISTRO ABONOS'!$B$8:$BC$10012,54,0)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7"/>
        <v>105000</v>
      </c>
      <c r="K2705" t="e">
        <f>VLOOKUP(B2705,'REGISTRO ABONOS'!$B$8:$BC$10012,54,0)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7"/>
        <v>105000</v>
      </c>
      <c r="K2706" t="e">
        <f>VLOOKUP(B2706,'REGISTRO ABONOS'!$B$8:$BC$10012,54,0)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7"/>
        <v>105000</v>
      </c>
      <c r="K2707" t="e">
        <f>VLOOKUP(B2707,'REGISTRO ABONOS'!$B$8:$BC$10012,54,0)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7"/>
        <v>105000</v>
      </c>
      <c r="K2708" t="e">
        <f>VLOOKUP(B2708,'REGISTRO ABONOS'!$B$8:$BC$10012,54,0)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7"/>
        <v>105000</v>
      </c>
      <c r="K2709" t="e">
        <f>VLOOKUP(B2709,'REGISTRO ABONOS'!$B$8:$BC$10012,54,0)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7"/>
        <v>105000</v>
      </c>
      <c r="K2710" t="e">
        <f>VLOOKUP(B2710,'REGISTRO ABONOS'!$B$8:$BC$10012,54,0)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7"/>
        <v>105000</v>
      </c>
      <c r="K2711" t="e">
        <f>VLOOKUP(B2711,'REGISTRO ABONOS'!$B$8:$BC$10012,54,0)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7"/>
        <v>105000</v>
      </c>
      <c r="K2712" t="e">
        <f>VLOOKUP(B2712,'REGISTRO ABONOS'!$B$8:$BC$10012,54,0)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7"/>
        <v>105000</v>
      </c>
      <c r="K2713" t="e">
        <f>VLOOKUP(B2713,'REGISTRO ABONOS'!$B$8:$BC$10012,54,0)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7"/>
        <v>105000</v>
      </c>
      <c r="K2714" t="e">
        <f>VLOOKUP(B2714,'REGISTRO ABONOS'!$B$8:$BC$10012,54,0)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7"/>
        <v>105000</v>
      </c>
      <c r="K2715" t="e">
        <f>VLOOKUP(B2715,'REGISTRO ABONOS'!$B$8:$BC$10012,54,0)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J2716">
        <f t="shared" si="47"/>
        <v>105000</v>
      </c>
      <c r="K2716" t="e">
        <f>VLOOKUP(B2716,'REGISTRO ABONOS'!$B$8:$BC$10012,54,0)</f>
        <v>#N/A</v>
      </c>
      <c r="L2716" t="e">
        <f>IF(Tabla26[[#This Row],[VALOR RESTANTE]]&lt;Tabla26[[#This Row],[VALOR]],"NO DISPONIBLE","DISPONIBLE")</f>
        <v>#N/A</v>
      </c>
      <c r="M2716" s="9">
        <f>COUNTIF(Tabla26[[#This Row],[VALOR RESTANTE]],0)</f>
        <v>0</v>
      </c>
    </row>
    <row r="2717" spans="2:13" x14ac:dyDescent="0.2">
      <c r="B2717" s="31">
        <v>2708</v>
      </c>
      <c r="J2717">
        <f t="shared" si="47"/>
        <v>105000</v>
      </c>
      <c r="K2717" t="e">
        <f>VLOOKUP(B2717,'REGISTRO ABONOS'!$B$8:$BC$10012,54,0)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7"/>
        <v>105000</v>
      </c>
      <c r="K2718" t="e">
        <f>VLOOKUP(B2718,'REGISTRO ABONOS'!$B$8:$BC$10012,54,0)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7"/>
        <v>105000</v>
      </c>
      <c r="K2719" t="e">
        <f>VLOOKUP(B2719,'REGISTRO ABONOS'!$B$8:$BC$10012,54,0)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7"/>
        <v>105000</v>
      </c>
      <c r="K2720" t="e">
        <f>VLOOKUP(B2720,'REGISTRO ABONOS'!$B$8:$BC$10012,54,0)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7"/>
        <v>105000</v>
      </c>
      <c r="K2721" t="e">
        <f>VLOOKUP(B2721,'REGISTRO ABONOS'!$B$8:$BC$10012,54,0)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7"/>
        <v>105000</v>
      </c>
      <c r="K2722" t="e">
        <f>VLOOKUP(B2722,'REGISTRO ABONOS'!$B$8:$BC$10012,54,0)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7"/>
        <v>105000</v>
      </c>
      <c r="K2723" t="e">
        <f>VLOOKUP(B2723,'REGISTRO ABONOS'!$B$8:$BC$10012,54,0)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7"/>
        <v>105000</v>
      </c>
      <c r="K2724" t="e">
        <f>VLOOKUP(B2724,'REGISTRO ABONOS'!$B$8:$BC$10012,54,0)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7"/>
        <v>105000</v>
      </c>
      <c r="K2725" t="e">
        <f>VLOOKUP(B2725,'REGISTRO ABONOS'!$B$8:$BC$10012,54,0)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7"/>
        <v>105000</v>
      </c>
      <c r="K2726" t="e">
        <f>VLOOKUP(B2726,'REGISTRO ABONOS'!$B$8:$BC$10012,54,0)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7"/>
        <v>105000</v>
      </c>
      <c r="K2727" t="e">
        <f>VLOOKUP(B2727,'REGISTRO ABONOS'!$B$8:$BC$10012,54,0)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J2728">
        <f t="shared" si="47"/>
        <v>105000</v>
      </c>
      <c r="K2728" t="e">
        <f>VLOOKUP(B2728,'REGISTRO ABONOS'!$B$8:$BC$10012,54,0)</f>
        <v>#N/A</v>
      </c>
      <c r="L2728" t="e">
        <f>IF(Tabla26[[#This Row],[VALOR RESTANTE]]&lt;Tabla26[[#This Row],[VALOR]],"NO DISPONIBLE","DISPONIBLE")</f>
        <v>#N/A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7"/>
        <v>105000</v>
      </c>
      <c r="K2729" t="e">
        <f>VLOOKUP(B2729,'REGISTRO ABONOS'!$B$8:$BC$10012,54,0)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7"/>
        <v>105000</v>
      </c>
      <c r="K2730" t="e">
        <f>VLOOKUP(B2730,'REGISTRO ABONOS'!$B$8:$BC$10012,54,0)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7"/>
        <v>105000</v>
      </c>
      <c r="K2731" t="e">
        <f>VLOOKUP(B2731,'REGISTRO ABONOS'!$B$8:$BC$10012,54,0)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7"/>
        <v>105000</v>
      </c>
      <c r="K2732" t="e">
        <f>VLOOKUP(B2732,'REGISTRO ABONOS'!$B$8:$BC$10012,54,0)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7"/>
        <v>105000</v>
      </c>
      <c r="K2733" t="e">
        <f>VLOOKUP(B2733,'REGISTRO ABONOS'!$B$8:$BC$10012,54,0)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7"/>
        <v>105000</v>
      </c>
      <c r="K2734" t="e">
        <f>VLOOKUP(B2734,'REGISTRO ABONOS'!$B$8:$BC$10012,54,0)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7"/>
        <v>105000</v>
      </c>
      <c r="K2735" t="e">
        <f>VLOOKUP(B2735,'REGISTRO ABONOS'!$B$8:$BC$10012,54,0)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7"/>
        <v>105000</v>
      </c>
      <c r="K2736" t="e">
        <f>VLOOKUP(B2736,'REGISTRO ABONOS'!$B$8:$BC$10012,54,0)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7"/>
        <v>105000</v>
      </c>
      <c r="K2737" t="e">
        <f>VLOOKUP(B2737,'REGISTRO ABONOS'!$B$8:$BC$10012,54,0)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7"/>
        <v>105000</v>
      </c>
      <c r="K2738" t="e">
        <f>VLOOKUP(B2738,'REGISTRO ABONOS'!$B$8:$BC$10012,54,0)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7"/>
        <v>105000</v>
      </c>
      <c r="K2739" t="e">
        <f>VLOOKUP(B2739,'REGISTRO ABONOS'!$B$8:$BC$10012,54,0)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7"/>
        <v>105000</v>
      </c>
      <c r="K2740" t="e">
        <f>VLOOKUP(B2740,'REGISTRO ABONOS'!$B$8:$BC$10012,54,0)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7"/>
        <v>105000</v>
      </c>
      <c r="K2741" t="e">
        <f>VLOOKUP(B2741,'REGISTRO ABONOS'!$B$8:$BC$10012,54,0)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7"/>
        <v>105000</v>
      </c>
      <c r="K2742" t="e">
        <f>VLOOKUP(B2742,'REGISTRO ABONOS'!$B$8:$BC$10012,54,0)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7"/>
        <v>105000</v>
      </c>
      <c r="K2743" t="e">
        <f>VLOOKUP(B2743,'REGISTRO ABONOS'!$B$8:$BC$10012,54,0)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7"/>
        <v>105000</v>
      </c>
      <c r="K2744" t="e">
        <f>VLOOKUP(B2744,'REGISTRO ABONOS'!$B$8:$BC$10012,54,0)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7"/>
        <v>105000</v>
      </c>
      <c r="K2745" t="e">
        <f>VLOOKUP(B2745,'REGISTRO ABONOS'!$B$8:$BC$10012,54,0)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7"/>
        <v>105000</v>
      </c>
      <c r="K2746" t="e">
        <f>VLOOKUP(B2746,'REGISTRO ABONOS'!$B$8:$BC$10012,54,0)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7"/>
        <v>105000</v>
      </c>
      <c r="K2747" t="e">
        <f>VLOOKUP(B2747,'REGISTRO ABONOS'!$B$8:$BC$10012,54,0)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ABONOS'!$B$8:$BC$10012,54,0)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8"/>
        <v>105000</v>
      </c>
      <c r="K2749" t="e">
        <f>VLOOKUP(B2749,'REGISTRO ABONOS'!$B$8:$BC$10012,54,0)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8"/>
        <v>105000</v>
      </c>
      <c r="K2750" t="e">
        <f>VLOOKUP(B2750,'REGISTRO ABONOS'!$B$8:$BC$10012,54,0)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8"/>
        <v>105000</v>
      </c>
      <c r="K2751" t="e">
        <f>VLOOKUP(B2751,'REGISTRO ABONOS'!$B$8:$BC$10012,54,0)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8"/>
        <v>105000</v>
      </c>
      <c r="K2752" t="e">
        <f>VLOOKUP(B2752,'REGISTRO ABONOS'!$B$8:$BC$10012,54,0)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8"/>
        <v>105000</v>
      </c>
      <c r="K2753" t="e">
        <f>VLOOKUP(B2753,'REGISTRO ABONOS'!$B$8:$BC$10012,54,0)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8"/>
        <v>105000</v>
      </c>
      <c r="K2754" t="e">
        <f>VLOOKUP(B2754,'REGISTRO ABONOS'!$B$8:$BC$10012,54,0)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8"/>
        <v>105000</v>
      </c>
      <c r="K2755" t="e">
        <f>VLOOKUP(B2755,'REGISTRO ABONOS'!$B$8:$BC$10012,54,0)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8"/>
        <v>105000</v>
      </c>
      <c r="K2756" t="e">
        <f>VLOOKUP(B2756,'REGISTRO ABONOS'!$B$8:$BC$10012,54,0)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8"/>
        <v>105000</v>
      </c>
      <c r="K2757" t="e">
        <f>VLOOKUP(B2757,'REGISTRO ABONOS'!$B$8:$BC$10012,54,0)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8"/>
        <v>105000</v>
      </c>
      <c r="K2758" t="e">
        <f>VLOOKUP(B2758,'REGISTRO ABONOS'!$B$8:$BC$10012,54,0)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8"/>
        <v>105000</v>
      </c>
      <c r="K2759" t="e">
        <f>VLOOKUP(B2759,'REGISTRO ABONOS'!$B$8:$BC$10012,54,0)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J2760">
        <f t="shared" si="48"/>
        <v>105000</v>
      </c>
      <c r="K2760" t="e">
        <f>VLOOKUP(B2760,'REGISTRO ABONOS'!$B$8:$BC$10012,54,0)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8"/>
        <v>105000</v>
      </c>
      <c r="K2761" t="e">
        <f>VLOOKUP(B2761,'REGISTRO ABONOS'!$B$8:$BC$10012,54,0)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8"/>
        <v>105000</v>
      </c>
      <c r="K2762" t="e">
        <f>VLOOKUP(B2762,'REGISTRO ABONOS'!$B$8:$BC$10012,54,0)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8"/>
        <v>105000</v>
      </c>
      <c r="K2763" t="e">
        <f>VLOOKUP(B2763,'REGISTRO ABONOS'!$B$8:$BC$10012,54,0)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8"/>
        <v>105000</v>
      </c>
      <c r="K2764" t="e">
        <f>VLOOKUP(B2764,'REGISTRO ABONOS'!$B$8:$BC$10012,54,0)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8"/>
        <v>105000</v>
      </c>
      <c r="K2765" t="e">
        <f>VLOOKUP(B2765,'REGISTRO ABONOS'!$B$8:$BC$10012,54,0)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8"/>
        <v>105000</v>
      </c>
      <c r="K2766" t="e">
        <f>VLOOKUP(B2766,'REGISTRO ABONOS'!$B$8:$BC$10012,54,0)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8"/>
        <v>105000</v>
      </c>
      <c r="K2767" t="e">
        <f>VLOOKUP(B2767,'REGISTRO ABONOS'!$B$8:$BC$10012,54,0)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8"/>
        <v>105000</v>
      </c>
      <c r="K2768" t="e">
        <f>VLOOKUP(B2768,'REGISTRO ABONOS'!$B$8:$BC$10012,54,0)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8"/>
        <v>105000</v>
      </c>
      <c r="K2769" t="e">
        <f>VLOOKUP(B2769,'REGISTRO ABONOS'!$B$8:$BC$10012,54,0)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8"/>
        <v>105000</v>
      </c>
      <c r="K2770" t="e">
        <f>VLOOKUP(B2770,'REGISTRO ABONOS'!$B$8:$BC$10012,54,0)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8"/>
        <v>105000</v>
      </c>
      <c r="K2771" t="e">
        <f>VLOOKUP(B2771,'REGISTRO ABONOS'!$B$8:$BC$10012,54,0)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8"/>
        <v>105000</v>
      </c>
      <c r="K2772" t="e">
        <f>VLOOKUP(B2772,'REGISTRO ABONOS'!$B$8:$BC$10012,54,0)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8"/>
        <v>105000</v>
      </c>
      <c r="K2773" t="e">
        <f>VLOOKUP(B2773,'REGISTRO ABONOS'!$B$8:$BC$10012,54,0)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8"/>
        <v>105000</v>
      </c>
      <c r="K2774" t="e">
        <f>VLOOKUP(B2774,'REGISTRO ABONOS'!$B$8:$BC$10012,54,0)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8"/>
        <v>105000</v>
      </c>
      <c r="K2775" t="e">
        <f>VLOOKUP(B2775,'REGISTRO ABONOS'!$B$8:$BC$10012,54,0)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8"/>
        <v>105000</v>
      </c>
      <c r="K2776" t="e">
        <f>VLOOKUP(B2776,'REGISTRO ABONOS'!$B$8:$BC$10012,54,0)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8"/>
        <v>105000</v>
      </c>
      <c r="K2777" t="e">
        <f>VLOOKUP(B2777,'REGISTRO ABONOS'!$B$8:$BC$10012,54,0)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8"/>
        <v>105000</v>
      </c>
      <c r="K2778" t="e">
        <f>VLOOKUP(B2778,'REGISTRO ABONOS'!$B$8:$BC$10012,54,0)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8"/>
        <v>105000</v>
      </c>
      <c r="K2779" t="e">
        <f>VLOOKUP(B2779,'REGISTRO ABONOS'!$B$8:$BC$10012,54,0)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8"/>
        <v>105000</v>
      </c>
      <c r="K2780" t="e">
        <f>VLOOKUP(B2780,'REGISTRO ABONOS'!$B$8:$BC$10012,54,0)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8"/>
        <v>105000</v>
      </c>
      <c r="K2781" t="e">
        <f>VLOOKUP(B2781,'REGISTRO ABONOS'!$B$8:$BC$10012,54,0)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8"/>
        <v>105000</v>
      </c>
      <c r="K2782" t="e">
        <f>VLOOKUP(B2782,'REGISTRO ABONOS'!$B$8:$BC$10012,54,0)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8"/>
        <v>105000</v>
      </c>
      <c r="K2783" t="e">
        <f>VLOOKUP(B2783,'REGISTRO ABONOS'!$B$8:$BC$10012,54,0)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8"/>
        <v>105000</v>
      </c>
      <c r="K2784" t="e">
        <f>VLOOKUP(B2784,'REGISTRO ABONOS'!$B$8:$BC$10012,54,0)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8"/>
        <v>105000</v>
      </c>
      <c r="K2785" t="e">
        <f>VLOOKUP(B2785,'REGISTRO ABONOS'!$B$8:$BC$10012,54,0)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8"/>
        <v>105000</v>
      </c>
      <c r="K2786" t="e">
        <f>VLOOKUP(B2786,'REGISTRO ABONOS'!$B$8:$BC$10012,54,0)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8"/>
        <v>105000</v>
      </c>
      <c r="K2787" t="e">
        <f>VLOOKUP(B2787,'REGISTRO ABONOS'!$B$8:$BC$10012,54,0)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8"/>
        <v>105000</v>
      </c>
      <c r="K2788" t="e">
        <f>VLOOKUP(B2788,'REGISTRO ABONOS'!$B$8:$BC$10012,54,0)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8"/>
        <v>105000</v>
      </c>
      <c r="K2789" t="e">
        <f>VLOOKUP(B2789,'REGISTRO ABONOS'!$B$8:$BC$10012,54,0)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8"/>
        <v>105000</v>
      </c>
      <c r="K2790" t="e">
        <f>VLOOKUP(B2790,'REGISTRO ABONOS'!$B$8:$BC$10012,54,0)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8"/>
        <v>105000</v>
      </c>
      <c r="K2791" t="e">
        <f>VLOOKUP(B2791,'REGISTRO ABONOS'!$B$8:$BC$10012,54,0)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8"/>
        <v>105000</v>
      </c>
      <c r="K2792" t="e">
        <f>VLOOKUP(B2792,'REGISTRO ABONOS'!$B$8:$BC$10012,54,0)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8"/>
        <v>105000</v>
      </c>
      <c r="K2793" t="e">
        <f>VLOOKUP(B2793,'REGISTRO ABONOS'!$B$8:$BC$10012,54,0)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8"/>
        <v>105000</v>
      </c>
      <c r="K2794" t="e">
        <f>VLOOKUP(B2794,'REGISTRO ABONOS'!$B$8:$BC$10012,54,0)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8"/>
        <v>105000</v>
      </c>
      <c r="K2795" t="e">
        <f>VLOOKUP(B2795,'REGISTRO ABONOS'!$B$8:$BC$10012,54,0)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8"/>
        <v>105000</v>
      </c>
      <c r="K2796" t="e">
        <f>VLOOKUP(B2796,'REGISTRO ABONOS'!$B$8:$BC$10012,54,0)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8"/>
        <v>105000</v>
      </c>
      <c r="K2797" t="e">
        <f>VLOOKUP(B2797,'REGISTRO ABONOS'!$B$8:$BC$10012,54,0)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8"/>
        <v>105000</v>
      </c>
      <c r="K2798" t="e">
        <f>VLOOKUP(B2798,'REGISTRO ABONOS'!$B$8:$BC$10012,54,0)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8"/>
        <v>105000</v>
      </c>
      <c r="K2799" t="e">
        <f>VLOOKUP(B2799,'REGISTRO ABONOS'!$B$8:$BC$10012,54,0)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8"/>
        <v>105000</v>
      </c>
      <c r="K2800" t="e">
        <f>VLOOKUP(B2800,'REGISTRO ABONOS'!$B$8:$BC$10012,54,0)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8"/>
        <v>105000</v>
      </c>
      <c r="K2801" t="e">
        <f>VLOOKUP(B2801,'REGISTRO ABONOS'!$B$8:$BC$10012,54,0)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8"/>
        <v>105000</v>
      </c>
      <c r="K2802" t="e">
        <f>VLOOKUP(B2802,'REGISTRO ABONOS'!$B$8:$BC$10012,54,0)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8"/>
        <v>105000</v>
      </c>
      <c r="K2803" t="e">
        <f>VLOOKUP(B2803,'REGISTRO ABONOS'!$B$8:$BC$10012,54,0)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8"/>
        <v>105000</v>
      </c>
      <c r="K2804" t="e">
        <f>VLOOKUP(B2804,'REGISTRO ABONOS'!$B$8:$BC$10012,54,0)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8"/>
        <v>105000</v>
      </c>
      <c r="K2805" t="e">
        <f>VLOOKUP(B2805,'REGISTRO ABONOS'!$B$8:$BC$10012,54,0)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8"/>
        <v>105000</v>
      </c>
      <c r="K2806" t="e">
        <f>VLOOKUP(B2806,'REGISTRO ABONOS'!$B$8:$BC$10012,54,0)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8"/>
        <v>105000</v>
      </c>
      <c r="K2807" t="e">
        <f>VLOOKUP(B2807,'REGISTRO ABONOS'!$B$8:$BC$10012,54,0)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8"/>
        <v>105000</v>
      </c>
      <c r="K2808" t="e">
        <f>VLOOKUP(B2808,'REGISTRO ABONOS'!$B$8:$BC$10012,54,0)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J2809">
        <f t="shared" si="48"/>
        <v>105000</v>
      </c>
      <c r="K2809" t="e">
        <f>VLOOKUP(B2809,'REGISTRO ABONOS'!$B$8:$BC$10012,54,0)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8"/>
        <v>105000</v>
      </c>
      <c r="K2810" t="e">
        <f>VLOOKUP(B2810,'REGISTRO ABONOS'!$B$8:$BC$10012,54,0)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8"/>
        <v>105000</v>
      </c>
      <c r="K2811" t="e">
        <f>VLOOKUP(B2811,'REGISTRO ABONOS'!$B$8:$BC$10012,54,0)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ABONOS'!$B$8:$BC$10012,54,0)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9"/>
        <v>105000</v>
      </c>
      <c r="K2813" t="e">
        <f>VLOOKUP(B2813,'REGISTRO ABONOS'!$B$8:$BC$10012,54,0)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9"/>
        <v>105000</v>
      </c>
      <c r="K2814" t="e">
        <f>VLOOKUP(B2814,'REGISTRO ABONOS'!$B$8:$BC$10012,54,0)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9"/>
        <v>105000</v>
      </c>
      <c r="K2815" t="e">
        <f>VLOOKUP(B2815,'REGISTRO ABONOS'!$B$8:$BC$10012,54,0)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9"/>
        <v>105000</v>
      </c>
      <c r="K2816" t="e">
        <f>VLOOKUP(B2816,'REGISTRO ABONOS'!$B$8:$BC$10012,54,0)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9"/>
        <v>105000</v>
      </c>
      <c r="K2817" t="e">
        <f>VLOOKUP(B2817,'REGISTRO ABONOS'!$B$8:$BC$10012,54,0)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9"/>
        <v>105000</v>
      </c>
      <c r="K2818" t="e">
        <f>VLOOKUP(B2818,'REGISTRO ABONOS'!$B$8:$BC$10012,54,0)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9"/>
        <v>105000</v>
      </c>
      <c r="K2819" t="e">
        <f>VLOOKUP(B2819,'REGISTRO ABONOS'!$B$8:$BC$10012,54,0)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9"/>
        <v>105000</v>
      </c>
      <c r="K2820" t="e">
        <f>VLOOKUP(B2820,'REGISTRO ABONOS'!$B$8:$BC$10012,54,0)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9"/>
        <v>105000</v>
      </c>
      <c r="K2821" t="e">
        <f>VLOOKUP(B2821,'REGISTRO ABONOS'!$B$8:$BC$10012,54,0)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9"/>
        <v>105000</v>
      </c>
      <c r="K2822" t="e">
        <f>VLOOKUP(B2822,'REGISTRO ABONOS'!$B$8:$BC$10012,54,0)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9"/>
        <v>105000</v>
      </c>
      <c r="K2823" t="e">
        <f>VLOOKUP(B2823,'REGISTRO ABONOS'!$B$8:$BC$10012,54,0)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9"/>
        <v>105000</v>
      </c>
      <c r="K2824" t="e">
        <f>VLOOKUP(B2824,'REGISTRO ABONOS'!$B$8:$BC$10012,54,0)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9"/>
        <v>105000</v>
      </c>
      <c r="K2825" t="e">
        <f>VLOOKUP(B2825,'REGISTRO ABONOS'!$B$8:$BC$10012,54,0)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9"/>
        <v>105000</v>
      </c>
      <c r="K2826" t="e">
        <f>VLOOKUP(B2826,'REGISTRO ABONOS'!$B$8:$BC$10012,54,0)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9"/>
        <v>105000</v>
      </c>
      <c r="K2827" t="e">
        <f>VLOOKUP(B2827,'REGISTRO ABONOS'!$B$8:$BC$10012,54,0)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9"/>
        <v>105000</v>
      </c>
      <c r="K2828" t="e">
        <f>VLOOKUP(B2828,'REGISTRO ABONOS'!$B$8:$BC$10012,54,0)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9"/>
        <v>105000</v>
      </c>
      <c r="K2829" t="e">
        <f>VLOOKUP(B2829,'REGISTRO ABONOS'!$B$8:$BC$10012,54,0)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9"/>
        <v>105000</v>
      </c>
      <c r="K2830" t="e">
        <f>VLOOKUP(B2830,'REGISTRO ABONOS'!$B$8:$BC$10012,54,0)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9"/>
        <v>105000</v>
      </c>
      <c r="K2831" t="e">
        <f>VLOOKUP(B2831,'REGISTRO ABONOS'!$B$8:$BC$10012,54,0)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9"/>
        <v>105000</v>
      </c>
      <c r="K2832" t="e">
        <f>VLOOKUP(B2832,'REGISTRO ABONOS'!$B$8:$BC$10012,54,0)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9"/>
        <v>105000</v>
      </c>
      <c r="K2833" t="e">
        <f>VLOOKUP(B2833,'REGISTRO ABONOS'!$B$8:$BC$10012,54,0)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9"/>
        <v>105000</v>
      </c>
      <c r="K2834" t="e">
        <f>VLOOKUP(B2834,'REGISTRO ABONOS'!$B$8:$BC$10012,54,0)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9"/>
        <v>105000</v>
      </c>
      <c r="K2835" t="e">
        <f>VLOOKUP(B2835,'REGISTRO ABONOS'!$B$8:$BC$10012,54,0)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9"/>
        <v>105000</v>
      </c>
      <c r="K2836" t="e">
        <f>VLOOKUP(B2836,'REGISTRO ABONOS'!$B$8:$BC$10012,54,0)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9"/>
        <v>105000</v>
      </c>
      <c r="K2837" t="e">
        <f>VLOOKUP(B2837,'REGISTRO ABONOS'!$B$8:$BC$10012,54,0)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9"/>
        <v>105000</v>
      </c>
      <c r="K2838" t="e">
        <f>VLOOKUP(B2838,'REGISTRO ABONOS'!$B$8:$BC$10012,54,0)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9"/>
        <v>105000</v>
      </c>
      <c r="K2839" t="e">
        <f>VLOOKUP(B2839,'REGISTRO ABONOS'!$B$8:$BC$10012,54,0)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9"/>
        <v>105000</v>
      </c>
      <c r="K2840" t="e">
        <f>VLOOKUP(B2840,'REGISTRO ABONOS'!$B$8:$BC$10012,54,0)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9"/>
        <v>105000</v>
      </c>
      <c r="K2841" t="e">
        <f>VLOOKUP(B2841,'REGISTRO ABONOS'!$B$8:$BC$10012,54,0)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9"/>
        <v>105000</v>
      </c>
      <c r="K2842" t="e">
        <f>VLOOKUP(B2842,'REGISTRO ABONOS'!$B$8:$BC$10012,54,0)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9"/>
        <v>105000</v>
      </c>
      <c r="K2843" t="e">
        <f>VLOOKUP(B2843,'REGISTRO ABONOS'!$B$8:$BC$10012,54,0)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9"/>
        <v>105000</v>
      </c>
      <c r="K2844" t="e">
        <f>VLOOKUP(B2844,'REGISTRO ABONOS'!$B$8:$BC$10012,54,0)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9"/>
        <v>105000</v>
      </c>
      <c r="K2845" t="e">
        <f>VLOOKUP(B2845,'REGISTRO ABONOS'!$B$8:$BC$10012,54,0)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9"/>
        <v>105000</v>
      </c>
      <c r="K2846" t="e">
        <f>VLOOKUP(B2846,'REGISTRO ABONOS'!$B$8:$BC$10012,54,0)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9"/>
        <v>105000</v>
      </c>
      <c r="K2847" t="e">
        <f>VLOOKUP(B2847,'REGISTRO ABONOS'!$B$8:$BC$10012,54,0)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9"/>
        <v>105000</v>
      </c>
      <c r="K2848" t="e">
        <f>VLOOKUP(B2848,'REGISTRO ABONOS'!$B$8:$BC$10012,54,0)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9"/>
        <v>105000</v>
      </c>
      <c r="K2849" t="e">
        <f>VLOOKUP(B2849,'REGISTRO ABONOS'!$B$8:$BC$10012,54,0)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9"/>
        <v>105000</v>
      </c>
      <c r="K2850" t="e">
        <f>VLOOKUP(B2850,'REGISTRO ABONOS'!$B$8:$BC$10012,54,0)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9"/>
        <v>105000</v>
      </c>
      <c r="K2851" t="e">
        <f>VLOOKUP(B2851,'REGISTRO ABONOS'!$B$8:$BC$10012,54,0)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9"/>
        <v>105000</v>
      </c>
      <c r="K2852" t="e">
        <f>VLOOKUP(B2852,'REGISTRO ABONOS'!$B$8:$BC$10012,54,0)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9"/>
        <v>105000</v>
      </c>
      <c r="K2853" t="e">
        <f>VLOOKUP(B2853,'REGISTRO ABONOS'!$B$8:$BC$10012,54,0)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9"/>
        <v>105000</v>
      </c>
      <c r="K2854" t="e">
        <f>VLOOKUP(B2854,'REGISTRO ABONOS'!$B$8:$BC$10012,54,0)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9"/>
        <v>105000</v>
      </c>
      <c r="K2855" t="e">
        <f>VLOOKUP(B2855,'REGISTRO ABONOS'!$B$8:$BC$10012,54,0)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9"/>
        <v>105000</v>
      </c>
      <c r="K2856" t="e">
        <f>VLOOKUP(B2856,'REGISTRO ABONOS'!$B$8:$BC$10012,54,0)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9"/>
        <v>105000</v>
      </c>
      <c r="K2857" t="e">
        <f>VLOOKUP(B2857,'REGISTRO ABONOS'!$B$8:$BC$10012,54,0)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9"/>
        <v>105000</v>
      </c>
      <c r="K2858" t="e">
        <f>VLOOKUP(B2858,'REGISTRO ABONOS'!$B$8:$BC$10012,54,0)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9"/>
        <v>105000</v>
      </c>
      <c r="K2859" t="e">
        <f>VLOOKUP(B2859,'REGISTRO ABONOS'!$B$8:$BC$10012,54,0)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9"/>
        <v>105000</v>
      </c>
      <c r="K2860" t="e">
        <f>VLOOKUP(B2860,'REGISTRO ABONOS'!$B$8:$BC$10012,54,0)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9"/>
        <v>105000</v>
      </c>
      <c r="K2861" t="e">
        <f>VLOOKUP(B2861,'REGISTRO ABONOS'!$B$8:$BC$10012,54,0)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9"/>
        <v>105000</v>
      </c>
      <c r="K2862" t="e">
        <f>VLOOKUP(B2862,'REGISTRO ABONOS'!$B$8:$BC$10012,54,0)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9"/>
        <v>105000</v>
      </c>
      <c r="K2863" t="e">
        <f>VLOOKUP(B2863,'REGISTRO ABONOS'!$B$8:$BC$10012,54,0)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9"/>
        <v>105000</v>
      </c>
      <c r="K2864" t="e">
        <f>VLOOKUP(B2864,'REGISTRO ABONOS'!$B$8:$BC$10012,54,0)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9"/>
        <v>105000</v>
      </c>
      <c r="K2865" t="e">
        <f>VLOOKUP(B2865,'REGISTRO ABONOS'!$B$8:$BC$10012,54,0)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9"/>
        <v>105000</v>
      </c>
      <c r="K2866" t="e">
        <f>VLOOKUP(B2866,'REGISTRO ABONOS'!$B$8:$BC$10012,54,0)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9"/>
        <v>105000</v>
      </c>
      <c r="K2867" t="e">
        <f>VLOOKUP(B2867,'REGISTRO ABONOS'!$B$8:$BC$10012,54,0)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9"/>
        <v>105000</v>
      </c>
      <c r="K2868" t="e">
        <f>VLOOKUP(B2868,'REGISTRO ABONOS'!$B$8:$BC$10012,54,0)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9"/>
        <v>105000</v>
      </c>
      <c r="K2869" t="e">
        <f>VLOOKUP(B2869,'REGISTRO ABONOS'!$B$8:$BC$10012,54,0)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9"/>
        <v>105000</v>
      </c>
      <c r="K2870" t="e">
        <f>VLOOKUP(B2870,'REGISTRO ABONOS'!$B$8:$BC$10012,54,0)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9"/>
        <v>105000</v>
      </c>
      <c r="K2871" t="e">
        <f>VLOOKUP(B2871,'REGISTRO ABONOS'!$B$8:$BC$10012,54,0)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9"/>
        <v>105000</v>
      </c>
      <c r="K2872" t="e">
        <f>VLOOKUP(B2872,'REGISTRO ABONOS'!$B$8:$BC$10012,54,0)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9"/>
        <v>105000</v>
      </c>
      <c r="K2873" t="e">
        <f>VLOOKUP(B2873,'REGISTRO ABONOS'!$B$8:$BC$10012,54,0)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9"/>
        <v>105000</v>
      </c>
      <c r="K2874" t="e">
        <f>VLOOKUP(B2874,'REGISTRO ABONOS'!$B$8:$BC$10012,54,0)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9"/>
        <v>105000</v>
      </c>
      <c r="K2875" t="e">
        <f>VLOOKUP(B2875,'REGISTRO ABONOS'!$B$8:$BC$10012,54,0)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ABONOS'!$B$8:$BC$10012,54,0)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50"/>
        <v>105000</v>
      </c>
      <c r="K2877" t="e">
        <f>VLOOKUP(B2877,'REGISTRO ABONOS'!$B$8:$BC$10012,54,0)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50"/>
        <v>105000</v>
      </c>
      <c r="K2878" t="e">
        <f>VLOOKUP(B2878,'REGISTRO ABONOS'!$B$8:$BC$10012,54,0)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50"/>
        <v>105000</v>
      </c>
      <c r="K2879" t="e">
        <f>VLOOKUP(B2879,'REGISTRO ABONOS'!$B$8:$BC$10012,54,0)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50"/>
        <v>105000</v>
      </c>
      <c r="K2880" t="e">
        <f>VLOOKUP(B2880,'REGISTRO ABONOS'!$B$8:$BC$10012,54,0)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50"/>
        <v>105000</v>
      </c>
      <c r="K2881" t="e">
        <f>VLOOKUP(B2881,'REGISTRO ABONOS'!$B$8:$BC$10012,54,0)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50"/>
        <v>105000</v>
      </c>
      <c r="K2882" t="e">
        <f>VLOOKUP(B2882,'REGISTRO ABONOS'!$B$8:$BC$10012,54,0)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50"/>
        <v>105000</v>
      </c>
      <c r="K2883" t="e">
        <f>VLOOKUP(B2883,'REGISTRO ABONOS'!$B$8:$BC$10012,54,0)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50"/>
        <v>105000</v>
      </c>
      <c r="K2884" t="e">
        <f>VLOOKUP(B2884,'REGISTRO ABONOS'!$B$8:$BC$10012,54,0)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50"/>
        <v>105000</v>
      </c>
      <c r="K2885" t="e">
        <f>VLOOKUP(B2885,'REGISTRO ABONOS'!$B$8:$BC$10012,54,0)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50"/>
        <v>105000</v>
      </c>
      <c r="K2886" t="e">
        <f>VLOOKUP(B2886,'REGISTRO ABONOS'!$B$8:$BC$10012,54,0)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50"/>
        <v>105000</v>
      </c>
      <c r="K2887" t="e">
        <f>VLOOKUP(B2887,'REGISTRO ABONOS'!$B$8:$BC$10012,54,0)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50"/>
        <v>105000</v>
      </c>
      <c r="K2888" t="e">
        <f>VLOOKUP(B2888,'REGISTRO ABONOS'!$B$8:$BC$10012,54,0)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50"/>
        <v>105000</v>
      </c>
      <c r="K2889" t="e">
        <f>VLOOKUP(B2889,'REGISTRO ABONOS'!$B$8:$BC$10012,54,0)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50"/>
        <v>105000</v>
      </c>
      <c r="K2890" t="e">
        <f>VLOOKUP(B2890,'REGISTRO ABONOS'!$B$8:$BC$10012,54,0)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50"/>
        <v>105000</v>
      </c>
      <c r="K2891" t="e">
        <f>VLOOKUP(B2891,'REGISTRO ABONOS'!$B$8:$BC$10012,54,0)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50"/>
        <v>105000</v>
      </c>
      <c r="K2892" t="e">
        <f>VLOOKUP(B2892,'REGISTRO ABONOS'!$B$8:$BC$10012,54,0)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50"/>
        <v>105000</v>
      </c>
      <c r="K2893" t="e">
        <f>VLOOKUP(B2893,'REGISTRO ABONOS'!$B$8:$BC$10012,54,0)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50"/>
        <v>105000</v>
      </c>
      <c r="K2894" t="e">
        <f>VLOOKUP(B2894,'REGISTRO ABONOS'!$B$8:$BC$10012,54,0)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50"/>
        <v>105000</v>
      </c>
      <c r="K2895" t="e">
        <f>VLOOKUP(B2895,'REGISTRO ABONOS'!$B$8:$BC$10012,54,0)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50"/>
        <v>105000</v>
      </c>
      <c r="K2896" t="e">
        <f>VLOOKUP(B2896,'REGISTRO ABONOS'!$B$8:$BC$10012,54,0)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50"/>
        <v>105000</v>
      </c>
      <c r="K2897" t="e">
        <f>VLOOKUP(B2897,'REGISTRO ABONOS'!$B$8:$BC$10012,54,0)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50"/>
        <v>105000</v>
      </c>
      <c r="K2898" t="e">
        <f>VLOOKUP(B2898,'REGISTRO ABONOS'!$B$8:$BC$10012,54,0)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50"/>
        <v>105000</v>
      </c>
      <c r="K2899" t="e">
        <f>VLOOKUP(B2899,'REGISTRO ABONOS'!$B$8:$BC$10012,54,0)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50"/>
        <v>105000</v>
      </c>
      <c r="K2900" t="e">
        <f>VLOOKUP(B2900,'REGISTRO ABONOS'!$B$8:$BC$10012,54,0)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50"/>
        <v>105000</v>
      </c>
      <c r="K2901" t="e">
        <f>VLOOKUP(B2901,'REGISTRO ABONOS'!$B$8:$BC$10012,54,0)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50"/>
        <v>105000</v>
      </c>
      <c r="K2902" t="e">
        <f>VLOOKUP(B2902,'REGISTRO ABONOS'!$B$8:$BC$10012,54,0)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50"/>
        <v>105000</v>
      </c>
      <c r="K2903" t="e">
        <f>VLOOKUP(B2903,'REGISTRO ABONOS'!$B$8:$BC$10012,54,0)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50"/>
        <v>105000</v>
      </c>
      <c r="K2904" t="e">
        <f>VLOOKUP(B2904,'REGISTRO ABONOS'!$B$8:$BC$10012,54,0)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50"/>
        <v>105000</v>
      </c>
      <c r="K2905" t="e">
        <f>VLOOKUP(B2905,'REGISTRO ABONOS'!$B$8:$BC$10012,54,0)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50"/>
        <v>105000</v>
      </c>
      <c r="K2906" t="e">
        <f>VLOOKUP(B2906,'REGISTRO ABONOS'!$B$8:$BC$10012,54,0)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50"/>
        <v>105000</v>
      </c>
      <c r="K2907" t="e">
        <f>VLOOKUP(B2907,'REGISTRO ABONOS'!$B$8:$BC$10012,54,0)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50"/>
        <v>105000</v>
      </c>
      <c r="K2908" t="e">
        <f>VLOOKUP(B2908,'REGISTRO ABONOS'!$B$8:$BC$10012,54,0)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50"/>
        <v>105000</v>
      </c>
      <c r="K2909" t="e">
        <f>VLOOKUP(B2909,'REGISTRO ABONOS'!$B$8:$BC$10012,54,0)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50"/>
        <v>105000</v>
      </c>
      <c r="K2910" t="e">
        <f>VLOOKUP(B2910,'REGISTRO ABONOS'!$B$8:$BC$10012,54,0)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50"/>
        <v>105000</v>
      </c>
      <c r="K2911" t="e">
        <f>VLOOKUP(B2911,'REGISTRO ABONOS'!$B$8:$BC$10012,54,0)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50"/>
        <v>105000</v>
      </c>
      <c r="K2912" t="e">
        <f>VLOOKUP(B2912,'REGISTRO ABONOS'!$B$8:$BC$10012,54,0)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50"/>
        <v>105000</v>
      </c>
      <c r="K2913" t="e">
        <f>VLOOKUP(B2913,'REGISTRO ABONOS'!$B$8:$BC$10012,54,0)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50"/>
        <v>105000</v>
      </c>
      <c r="K2914" t="e">
        <f>VLOOKUP(B2914,'REGISTRO ABONOS'!$B$8:$BC$10012,54,0)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50"/>
        <v>105000</v>
      </c>
      <c r="K2915" t="e">
        <f>VLOOKUP(B2915,'REGISTRO ABONOS'!$B$8:$BC$10012,54,0)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50"/>
        <v>105000</v>
      </c>
      <c r="K2916" t="e">
        <f>VLOOKUP(B2916,'REGISTRO ABONOS'!$B$8:$BC$10012,54,0)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50"/>
        <v>105000</v>
      </c>
      <c r="K2917" t="e">
        <f>VLOOKUP(B2917,'REGISTRO ABONOS'!$B$8:$BC$10012,54,0)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50"/>
        <v>105000</v>
      </c>
      <c r="K2918" t="e">
        <f>VLOOKUP(B2918,'REGISTRO ABONOS'!$B$8:$BC$10012,54,0)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50"/>
        <v>105000</v>
      </c>
      <c r="K2919" t="e">
        <f>VLOOKUP(B2919,'REGISTRO ABONOS'!$B$8:$BC$10012,54,0)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50"/>
        <v>105000</v>
      </c>
      <c r="K2920" t="e">
        <f>VLOOKUP(B2920,'REGISTRO ABONOS'!$B$8:$BC$10012,54,0)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50"/>
        <v>105000</v>
      </c>
      <c r="K2921" t="e">
        <f>VLOOKUP(B2921,'REGISTRO ABONOS'!$B$8:$BC$10012,54,0)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50"/>
        <v>105000</v>
      </c>
      <c r="K2922" t="e">
        <f>VLOOKUP(B2922,'REGISTRO ABONOS'!$B$8:$BC$10012,54,0)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50"/>
        <v>105000</v>
      </c>
      <c r="K2923" t="e">
        <f>VLOOKUP(B2923,'REGISTRO ABONOS'!$B$8:$BC$10012,54,0)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50"/>
        <v>105000</v>
      </c>
      <c r="K2924" t="e">
        <f>VLOOKUP(B2924,'REGISTRO ABONOS'!$B$8:$BC$10012,54,0)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50"/>
        <v>105000</v>
      </c>
      <c r="K2925" t="e">
        <f>VLOOKUP(B2925,'REGISTRO ABONOS'!$B$8:$BC$10012,54,0)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50"/>
        <v>105000</v>
      </c>
      <c r="K2926" t="e">
        <f>VLOOKUP(B2926,'REGISTRO ABONOS'!$B$8:$BC$10012,54,0)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50"/>
        <v>105000</v>
      </c>
      <c r="K2927" t="e">
        <f>VLOOKUP(B2927,'REGISTRO ABONOS'!$B$8:$BC$10012,54,0)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50"/>
        <v>105000</v>
      </c>
      <c r="K2928" t="e">
        <f>VLOOKUP(B2928,'REGISTRO ABONOS'!$B$8:$BC$10012,54,0)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50"/>
        <v>105000</v>
      </c>
      <c r="K2929" t="e">
        <f>VLOOKUP(B2929,'REGISTRO ABONOS'!$B$8:$BC$10012,54,0)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50"/>
        <v>105000</v>
      </c>
      <c r="K2930" t="e">
        <f>VLOOKUP(B2930,'REGISTRO ABONOS'!$B$8:$BC$10012,54,0)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50"/>
        <v>105000</v>
      </c>
      <c r="K2931" t="e">
        <f>VLOOKUP(B2931,'REGISTRO ABONOS'!$B$8:$BC$10012,54,0)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50"/>
        <v>105000</v>
      </c>
      <c r="K2932" t="e">
        <f>VLOOKUP(B2932,'REGISTRO ABONOS'!$B$8:$BC$10012,54,0)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50"/>
        <v>105000</v>
      </c>
      <c r="K2933" t="e">
        <f>VLOOKUP(B2933,'REGISTRO ABONOS'!$B$8:$BC$10012,54,0)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50"/>
        <v>105000</v>
      </c>
      <c r="K2934" t="e">
        <f>VLOOKUP(B2934,'REGISTRO ABONOS'!$B$8:$BC$10012,54,0)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50"/>
        <v>105000</v>
      </c>
      <c r="K2935" t="e">
        <f>VLOOKUP(B2935,'REGISTRO ABONOS'!$B$8:$BC$10012,54,0)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50"/>
        <v>105000</v>
      </c>
      <c r="K2936" t="e">
        <f>VLOOKUP(B2936,'REGISTRO ABONOS'!$B$8:$BC$10012,54,0)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50"/>
        <v>105000</v>
      </c>
      <c r="K2937" t="e">
        <f>VLOOKUP(B2937,'REGISTRO ABONOS'!$B$8:$BC$10012,54,0)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50"/>
        <v>105000</v>
      </c>
      <c r="K2938" t="e">
        <f>VLOOKUP(B2938,'REGISTRO ABONOS'!$B$8:$BC$10012,54,0)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50"/>
        <v>105000</v>
      </c>
      <c r="K2939" t="e">
        <f>VLOOKUP(B2939,'REGISTRO ABONOS'!$B$8:$BC$10012,54,0)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ABONOS'!$B$8:$BC$10012,54,0)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1"/>
        <v>105000</v>
      </c>
      <c r="K2941" t="e">
        <f>VLOOKUP(B2941,'REGISTRO ABONOS'!$B$8:$BC$10012,54,0)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1"/>
        <v>105000</v>
      </c>
      <c r="K2942" t="e">
        <f>VLOOKUP(B2942,'REGISTRO ABONOS'!$B$8:$BC$10012,54,0)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1"/>
        <v>105000</v>
      </c>
      <c r="K2943" t="e">
        <f>VLOOKUP(B2943,'REGISTRO ABONOS'!$B$8:$BC$10012,54,0)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1"/>
        <v>105000</v>
      </c>
      <c r="K2944" t="e">
        <f>VLOOKUP(B2944,'REGISTRO ABONOS'!$B$8:$BC$10012,54,0)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1"/>
        <v>105000</v>
      </c>
      <c r="K2945" t="e">
        <f>VLOOKUP(B2945,'REGISTRO ABONOS'!$B$8:$BC$10012,54,0)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1"/>
        <v>105000</v>
      </c>
      <c r="K2946" t="e">
        <f>VLOOKUP(B2946,'REGISTRO ABONOS'!$B$8:$BC$10012,54,0)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1"/>
        <v>105000</v>
      </c>
      <c r="K2947" t="e">
        <f>VLOOKUP(B2947,'REGISTRO ABONOS'!$B$8:$BC$10012,54,0)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1"/>
        <v>105000</v>
      </c>
      <c r="K2948" t="e">
        <f>VLOOKUP(B2948,'REGISTRO ABONOS'!$B$8:$BC$10012,54,0)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1"/>
        <v>105000</v>
      </c>
      <c r="K2949" t="e">
        <f>VLOOKUP(B2949,'REGISTRO ABONOS'!$B$8:$BC$10012,54,0)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1"/>
        <v>105000</v>
      </c>
      <c r="K2950" t="e">
        <f>VLOOKUP(B2950,'REGISTRO ABONOS'!$B$8:$BC$10012,54,0)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1"/>
        <v>105000</v>
      </c>
      <c r="K2951" t="e">
        <f>VLOOKUP(B2951,'REGISTRO ABONOS'!$B$8:$BC$10012,54,0)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1"/>
        <v>105000</v>
      </c>
      <c r="K2952" t="e">
        <f>VLOOKUP(B2952,'REGISTRO ABONOS'!$B$8:$BC$10012,54,0)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1"/>
        <v>105000</v>
      </c>
      <c r="K2953" t="e">
        <f>VLOOKUP(B2953,'REGISTRO ABONOS'!$B$8:$BC$10012,54,0)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1"/>
        <v>105000</v>
      </c>
      <c r="K2954" t="e">
        <f>VLOOKUP(B2954,'REGISTRO ABONOS'!$B$8:$BC$10012,54,0)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1"/>
        <v>105000</v>
      </c>
      <c r="K2955" t="e">
        <f>VLOOKUP(B2955,'REGISTRO ABONOS'!$B$8:$BC$10012,54,0)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1"/>
        <v>105000</v>
      </c>
      <c r="K2956" t="e">
        <f>VLOOKUP(B2956,'REGISTRO ABONOS'!$B$8:$BC$10012,54,0)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1"/>
        <v>105000</v>
      </c>
      <c r="K2957" t="e">
        <f>VLOOKUP(B2957,'REGISTRO ABONOS'!$B$8:$BC$10012,54,0)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1"/>
        <v>105000</v>
      </c>
      <c r="K2958" t="e">
        <f>VLOOKUP(B2958,'REGISTRO ABONOS'!$B$8:$BC$10012,54,0)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1"/>
        <v>105000</v>
      </c>
      <c r="K2959" t="e">
        <f>VLOOKUP(B2959,'REGISTRO ABONOS'!$B$8:$BC$10012,54,0)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1"/>
        <v>105000</v>
      </c>
      <c r="K2960" t="e">
        <f>VLOOKUP(B2960,'REGISTRO ABONOS'!$B$8:$BC$10012,54,0)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1"/>
        <v>105000</v>
      </c>
      <c r="K2961" t="e">
        <f>VLOOKUP(B2961,'REGISTRO ABONOS'!$B$8:$BC$10012,54,0)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1"/>
        <v>105000</v>
      </c>
      <c r="K2962" t="e">
        <f>VLOOKUP(B2962,'REGISTRO ABONOS'!$B$8:$BC$10012,54,0)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1"/>
        <v>105000</v>
      </c>
      <c r="K2963" t="e">
        <f>VLOOKUP(B2963,'REGISTRO ABONOS'!$B$8:$BC$10012,54,0)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1"/>
        <v>105000</v>
      </c>
      <c r="K2964" t="e">
        <f>VLOOKUP(B2964,'REGISTRO ABONOS'!$B$8:$BC$10012,54,0)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1"/>
        <v>105000</v>
      </c>
      <c r="K2965" t="e">
        <f>VLOOKUP(B2965,'REGISTRO ABONOS'!$B$8:$BC$10012,54,0)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1"/>
        <v>105000</v>
      </c>
      <c r="K2966" t="e">
        <f>VLOOKUP(B2966,'REGISTRO ABONOS'!$B$8:$BC$10012,54,0)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1"/>
        <v>105000</v>
      </c>
      <c r="K2967" t="e">
        <f>VLOOKUP(B2967,'REGISTRO ABONOS'!$B$8:$BC$10012,54,0)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1"/>
        <v>105000</v>
      </c>
      <c r="K2968" t="e">
        <f>VLOOKUP(B2968,'REGISTRO ABONOS'!$B$8:$BC$10012,54,0)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1"/>
        <v>105000</v>
      </c>
      <c r="K2969" t="e">
        <f>VLOOKUP(B2969,'REGISTRO ABONOS'!$B$8:$BC$10012,54,0)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1"/>
        <v>105000</v>
      </c>
      <c r="K2970" t="e">
        <f>VLOOKUP(B2970,'REGISTRO ABONOS'!$B$8:$BC$10012,54,0)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1"/>
        <v>105000</v>
      </c>
      <c r="K2971" t="e">
        <f>VLOOKUP(B2971,'REGISTRO ABONOS'!$B$8:$BC$10012,54,0)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1"/>
        <v>105000</v>
      </c>
      <c r="K2972" t="e">
        <f>VLOOKUP(B2972,'REGISTRO ABONOS'!$B$8:$BC$10012,54,0)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1"/>
        <v>105000</v>
      </c>
      <c r="K2973" t="e">
        <f>VLOOKUP(B2973,'REGISTRO ABONOS'!$B$8:$BC$10012,54,0)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1"/>
        <v>105000</v>
      </c>
      <c r="K2974" t="e">
        <f>VLOOKUP(B2974,'REGISTRO ABONOS'!$B$8:$BC$10012,54,0)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1"/>
        <v>105000</v>
      </c>
      <c r="K2975" t="e">
        <f>VLOOKUP(B2975,'REGISTRO ABONOS'!$B$8:$BC$10012,54,0)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J2976">
        <f t="shared" si="51"/>
        <v>105000</v>
      </c>
      <c r="K2976" t="e">
        <f>VLOOKUP(B2976,'REGISTRO ABONOS'!$B$8:$BC$10012,54,0)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1"/>
        <v>105000</v>
      </c>
      <c r="K2977" t="e">
        <f>VLOOKUP(B2977,'REGISTRO ABONOS'!$B$8:$BC$10012,54,0)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1"/>
        <v>105000</v>
      </c>
      <c r="K2978" t="e">
        <f>VLOOKUP(B2978,'REGISTRO ABONOS'!$B$8:$BC$10012,54,0)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1"/>
        <v>105000</v>
      </c>
      <c r="K2979" t="e">
        <f>VLOOKUP(B2979,'REGISTRO ABONOS'!$B$8:$BC$10012,54,0)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1"/>
        <v>105000</v>
      </c>
      <c r="K2980" t="e">
        <f>VLOOKUP(B2980,'REGISTRO ABONOS'!$B$8:$BC$10012,54,0)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1"/>
        <v>105000</v>
      </c>
      <c r="K2981" t="e">
        <f>VLOOKUP(B2981,'REGISTRO ABONOS'!$B$8:$BC$10012,54,0)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1"/>
        <v>105000</v>
      </c>
      <c r="K2982" t="e">
        <f>VLOOKUP(B2982,'REGISTRO ABONOS'!$B$8:$BC$10012,54,0)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1"/>
        <v>105000</v>
      </c>
      <c r="K2983" t="e">
        <f>VLOOKUP(B2983,'REGISTRO ABONOS'!$B$8:$BC$10012,54,0)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1"/>
        <v>105000</v>
      </c>
      <c r="K2984" t="e">
        <f>VLOOKUP(B2984,'REGISTRO ABONOS'!$B$8:$BC$10012,54,0)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1"/>
        <v>105000</v>
      </c>
      <c r="K2985" t="e">
        <f>VLOOKUP(B2985,'REGISTRO ABONOS'!$B$8:$BC$10012,54,0)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1"/>
        <v>105000</v>
      </c>
      <c r="K2986" t="e">
        <f>VLOOKUP(B2986,'REGISTRO ABONOS'!$B$8:$BC$10012,54,0)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1"/>
        <v>105000</v>
      </c>
      <c r="K2987" t="e">
        <f>VLOOKUP(B2987,'REGISTRO ABONOS'!$B$8:$BC$10012,54,0)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1"/>
        <v>105000</v>
      </c>
      <c r="K2988" t="e">
        <f>VLOOKUP(B2988,'REGISTRO ABONOS'!$B$8:$BC$10012,54,0)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1"/>
        <v>105000</v>
      </c>
      <c r="K2989" t="e">
        <f>VLOOKUP(B2989,'REGISTRO ABONOS'!$B$8:$BC$10012,54,0)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1"/>
        <v>105000</v>
      </c>
      <c r="K2990" t="e">
        <f>VLOOKUP(B2990,'REGISTRO ABONOS'!$B$8:$BC$10012,54,0)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1"/>
        <v>105000</v>
      </c>
      <c r="K2991" t="e">
        <f>VLOOKUP(B2991,'REGISTRO ABONOS'!$B$8:$BC$10012,54,0)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1"/>
        <v>105000</v>
      </c>
      <c r="K2992" t="e">
        <f>VLOOKUP(B2992,'REGISTRO ABONOS'!$B$8:$BC$10012,54,0)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1"/>
        <v>105000</v>
      </c>
      <c r="K2993" t="e">
        <f>VLOOKUP(B2993,'REGISTRO ABONOS'!$B$8:$BC$10012,54,0)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1"/>
        <v>105000</v>
      </c>
      <c r="K2994" t="e">
        <f>VLOOKUP(B2994,'REGISTRO ABONOS'!$B$8:$BC$10012,54,0)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1"/>
        <v>105000</v>
      </c>
      <c r="K2995" t="e">
        <f>VLOOKUP(B2995,'REGISTRO ABONOS'!$B$8:$BC$10012,54,0)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1"/>
        <v>105000</v>
      </c>
      <c r="K2996" t="e">
        <f>VLOOKUP(B2996,'REGISTRO ABONOS'!$B$8:$BC$10012,54,0)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1"/>
        <v>105000</v>
      </c>
      <c r="K2997" t="e">
        <f>VLOOKUP(B2997,'REGISTRO ABONOS'!$B$8:$BC$10012,54,0)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1"/>
        <v>105000</v>
      </c>
      <c r="K2998" t="e">
        <f>VLOOKUP(B2998,'REGISTRO ABONOS'!$B$8:$BC$10012,54,0)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1"/>
        <v>105000</v>
      </c>
      <c r="K2999" t="e">
        <f>VLOOKUP(B2999,'REGISTRO ABONOS'!$B$8:$BC$10012,54,0)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1"/>
        <v>105000</v>
      </c>
      <c r="K3000" t="e">
        <f>VLOOKUP(B3000,'REGISTRO ABONOS'!$B$8:$BC$10012,54,0)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1"/>
        <v>105000</v>
      </c>
      <c r="K3001" t="e">
        <f>VLOOKUP(B3001,'REGISTRO ABONOS'!$B$8:$BC$10012,54,0)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1"/>
        <v>105000</v>
      </c>
      <c r="K3002" t="e">
        <f>VLOOKUP(B3002,'REGISTRO ABONOS'!$B$8:$BC$10012,54,0)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1"/>
        <v>105000</v>
      </c>
      <c r="K3003" t="e">
        <f>VLOOKUP(B3003,'REGISTRO ABONOS'!$B$8:$BC$10012,54,0)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ABONOS'!$B$8:$BC$10012,54,0)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2"/>
        <v>105000</v>
      </c>
      <c r="K3005" t="e">
        <f>VLOOKUP(B3005,'REGISTRO ABONOS'!$B$8:$BC$10012,54,0)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2"/>
        <v>105000</v>
      </c>
      <c r="K3006" t="e">
        <f>VLOOKUP(B3006,'REGISTRO ABONOS'!$B$8:$BC$10012,54,0)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2"/>
        <v>105000</v>
      </c>
      <c r="K3007" t="e">
        <f>VLOOKUP(B3007,'REGISTRO ABONOS'!$B$8:$BC$10012,54,0)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2"/>
        <v>105000</v>
      </c>
      <c r="K3008" t="e">
        <f>VLOOKUP(B3008,'REGISTRO ABONOS'!$B$8:$BC$10012,54,0)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2"/>
        <v>105000</v>
      </c>
      <c r="K3009" t="e">
        <f>VLOOKUP(B3009,'REGISTRO ABONOS'!$B$8:$BC$10012,54,0)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2"/>
        <v>105000</v>
      </c>
      <c r="K3010" t="e">
        <f>VLOOKUP(B3010,'REGISTRO ABONOS'!$B$8:$BC$10012,54,0)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2"/>
        <v>105000</v>
      </c>
      <c r="K3011" t="e">
        <f>VLOOKUP(B3011,'REGISTRO ABONOS'!$B$8:$BC$10012,54,0)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2"/>
        <v>105000</v>
      </c>
      <c r="K3012" t="e">
        <f>VLOOKUP(B3012,'REGISTRO ABONOS'!$B$8:$BC$10012,54,0)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2"/>
        <v>105000</v>
      </c>
      <c r="K3013" t="e">
        <f>VLOOKUP(B3013,'REGISTRO ABONOS'!$B$8:$BC$10012,54,0)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2"/>
        <v>105000</v>
      </c>
      <c r="K3014" t="e">
        <f>VLOOKUP(B3014,'REGISTRO ABONOS'!$B$8:$BC$10012,54,0)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2"/>
        <v>105000</v>
      </c>
      <c r="K3015" t="e">
        <f>VLOOKUP(B3015,'REGISTRO ABONOS'!$B$8:$BC$10012,54,0)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2"/>
        <v>105000</v>
      </c>
      <c r="K3016" t="e">
        <f>VLOOKUP(B3016,'REGISTRO ABONOS'!$B$8:$BC$10012,54,0)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2"/>
        <v>105000</v>
      </c>
      <c r="K3017" t="e">
        <f>VLOOKUP(B3017,'REGISTRO ABONOS'!$B$8:$BC$10012,54,0)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2"/>
        <v>105000</v>
      </c>
      <c r="K3018" t="e">
        <f>VLOOKUP(B3018,'REGISTRO ABONOS'!$B$8:$BC$10012,54,0)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2"/>
        <v>105000</v>
      </c>
      <c r="K3019" t="e">
        <f>VLOOKUP(B3019,'REGISTRO ABONOS'!$B$8:$BC$10012,54,0)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2"/>
        <v>105000</v>
      </c>
      <c r="K3020" t="e">
        <f>VLOOKUP(B3020,'REGISTRO ABONOS'!$B$8:$BC$10012,54,0)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2"/>
        <v>105000</v>
      </c>
      <c r="K3021" t="e">
        <f>VLOOKUP(B3021,'REGISTRO ABONOS'!$B$8:$BC$10012,54,0)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2"/>
        <v>105000</v>
      </c>
      <c r="K3022" t="e">
        <f>VLOOKUP(B3022,'REGISTRO ABONOS'!$B$8:$BC$10012,54,0)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2"/>
        <v>105000</v>
      </c>
      <c r="K3023" t="e">
        <f>VLOOKUP(B3023,'REGISTRO ABONOS'!$B$8:$BC$10012,54,0)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2"/>
        <v>105000</v>
      </c>
      <c r="K3024" t="e">
        <f>VLOOKUP(B3024,'REGISTRO ABONOS'!$B$8:$BC$10012,54,0)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2"/>
        <v>105000</v>
      </c>
      <c r="K3025" t="e">
        <f>VLOOKUP(B3025,'REGISTRO ABONOS'!$B$8:$BC$10012,54,0)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2"/>
        <v>105000</v>
      </c>
      <c r="K3026" t="e">
        <f>VLOOKUP(B3026,'REGISTRO ABONOS'!$B$8:$BC$10012,54,0)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2"/>
        <v>105000</v>
      </c>
      <c r="K3027" t="e">
        <f>VLOOKUP(B3027,'REGISTRO ABONOS'!$B$8:$BC$10012,54,0)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2"/>
        <v>105000</v>
      </c>
      <c r="K3028" t="e">
        <f>VLOOKUP(B3028,'REGISTRO ABONOS'!$B$8:$BC$10012,54,0)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2"/>
        <v>105000</v>
      </c>
      <c r="K3029" t="e">
        <f>VLOOKUP(B3029,'REGISTRO ABONOS'!$B$8:$BC$10012,54,0)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2"/>
        <v>105000</v>
      </c>
      <c r="K3030" t="e">
        <f>VLOOKUP(B3030,'REGISTRO ABONOS'!$B$8:$BC$10012,54,0)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2"/>
        <v>105000</v>
      </c>
      <c r="K3031" t="e">
        <f>VLOOKUP(B3031,'REGISTRO ABONOS'!$B$8:$BC$10012,54,0)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2"/>
        <v>105000</v>
      </c>
      <c r="K3032" t="e">
        <f>VLOOKUP(B3032,'REGISTRO ABONOS'!$B$8:$BC$10012,54,0)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2"/>
        <v>105000</v>
      </c>
      <c r="K3033" t="e">
        <f>VLOOKUP(B3033,'REGISTRO ABONOS'!$B$8:$BC$10012,54,0)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2"/>
        <v>105000</v>
      </c>
      <c r="K3034" t="e">
        <f>VLOOKUP(B3034,'REGISTRO ABONOS'!$B$8:$BC$10012,54,0)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2"/>
        <v>105000</v>
      </c>
      <c r="K3035" t="e">
        <f>VLOOKUP(B3035,'REGISTRO ABONOS'!$B$8:$BC$10012,54,0)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2"/>
        <v>105000</v>
      </c>
      <c r="K3036" t="e">
        <f>VLOOKUP(B3036,'REGISTRO ABONOS'!$B$8:$BC$10012,54,0)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2"/>
        <v>105000</v>
      </c>
      <c r="K3037" t="e">
        <f>VLOOKUP(B3037,'REGISTRO ABONOS'!$B$8:$BC$10012,54,0)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2"/>
        <v>105000</v>
      </c>
      <c r="K3038" t="e">
        <f>VLOOKUP(B3038,'REGISTRO ABONOS'!$B$8:$BC$10012,54,0)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2"/>
        <v>105000</v>
      </c>
      <c r="K3039" t="e">
        <f>VLOOKUP(B3039,'REGISTRO ABONOS'!$B$8:$BC$10012,54,0)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2"/>
        <v>105000</v>
      </c>
      <c r="K3040" t="e">
        <f>VLOOKUP(B3040,'REGISTRO ABONOS'!$B$8:$BC$10012,54,0)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2"/>
        <v>105000</v>
      </c>
      <c r="K3041" t="e">
        <f>VLOOKUP(B3041,'REGISTRO ABONOS'!$B$8:$BC$10012,54,0)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2"/>
        <v>105000</v>
      </c>
      <c r="K3042" t="e">
        <f>VLOOKUP(B3042,'REGISTRO ABONOS'!$B$8:$BC$10012,54,0)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2"/>
        <v>105000</v>
      </c>
      <c r="K3043" t="e">
        <f>VLOOKUP(B3043,'REGISTRO ABONOS'!$B$8:$BC$10012,54,0)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2"/>
        <v>105000</v>
      </c>
      <c r="K3044" t="e">
        <f>VLOOKUP(B3044,'REGISTRO ABONOS'!$B$8:$BC$10012,54,0)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2"/>
        <v>105000</v>
      </c>
      <c r="K3045" t="e">
        <f>VLOOKUP(B3045,'REGISTRO ABONOS'!$B$8:$BC$10012,54,0)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2"/>
        <v>105000</v>
      </c>
      <c r="K3046" t="e">
        <f>VLOOKUP(B3046,'REGISTRO ABONOS'!$B$8:$BC$10012,54,0)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2"/>
        <v>105000</v>
      </c>
      <c r="K3047" t="e">
        <f>VLOOKUP(B3047,'REGISTRO ABONOS'!$B$8:$BC$10012,54,0)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2"/>
        <v>105000</v>
      </c>
      <c r="K3048" t="e">
        <f>VLOOKUP(B3048,'REGISTRO ABONOS'!$B$8:$BC$10012,54,0)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2"/>
        <v>105000</v>
      </c>
      <c r="K3049" t="e">
        <f>VLOOKUP(B3049,'REGISTRO ABONOS'!$B$8:$BC$10012,54,0)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2"/>
        <v>105000</v>
      </c>
      <c r="K3050" t="e">
        <f>VLOOKUP(B3050,'REGISTRO ABONOS'!$B$8:$BC$10012,54,0)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2"/>
        <v>105000</v>
      </c>
      <c r="K3051" t="e">
        <f>VLOOKUP(B3051,'REGISTRO ABONOS'!$B$8:$BC$10012,54,0)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2"/>
        <v>105000</v>
      </c>
      <c r="K3052" t="e">
        <f>VLOOKUP(B3052,'REGISTRO ABONOS'!$B$8:$BC$10012,54,0)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2"/>
        <v>105000</v>
      </c>
      <c r="K3053" t="e">
        <f>VLOOKUP(B3053,'REGISTRO ABONOS'!$B$8:$BC$10012,54,0)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2"/>
        <v>105000</v>
      </c>
      <c r="K3054" t="e">
        <f>VLOOKUP(B3054,'REGISTRO ABONOS'!$B$8:$BC$10012,54,0)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2"/>
        <v>105000</v>
      </c>
      <c r="K3055" t="e">
        <f>VLOOKUP(B3055,'REGISTRO ABONOS'!$B$8:$BC$10012,54,0)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2"/>
        <v>105000</v>
      </c>
      <c r="K3056" t="e">
        <f>VLOOKUP(B3056,'REGISTRO ABONOS'!$B$8:$BC$10012,54,0)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2"/>
        <v>105000</v>
      </c>
      <c r="K3057" t="e">
        <f>VLOOKUP(B3057,'REGISTRO ABONOS'!$B$8:$BC$10012,54,0)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2"/>
        <v>105000</v>
      </c>
      <c r="K3058" t="e">
        <f>VLOOKUP(B3058,'REGISTRO ABONOS'!$B$8:$BC$10012,54,0)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2"/>
        <v>105000</v>
      </c>
      <c r="K3059" t="e">
        <f>VLOOKUP(B3059,'REGISTRO ABONOS'!$B$8:$BC$10012,54,0)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2"/>
        <v>105000</v>
      </c>
      <c r="K3060" t="e">
        <f>VLOOKUP(B3060,'REGISTRO ABONOS'!$B$8:$BC$10012,54,0)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2"/>
        <v>105000</v>
      </c>
      <c r="K3061" t="e">
        <f>VLOOKUP(B3061,'REGISTRO ABONOS'!$B$8:$BC$10012,54,0)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2"/>
        <v>105000</v>
      </c>
      <c r="K3062" t="e">
        <f>VLOOKUP(B3062,'REGISTRO ABONOS'!$B$8:$BC$10012,54,0)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2"/>
        <v>105000</v>
      </c>
      <c r="K3063" t="e">
        <f>VLOOKUP(B3063,'REGISTRO ABONOS'!$B$8:$BC$10012,54,0)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2"/>
        <v>105000</v>
      </c>
      <c r="K3064" t="e">
        <f>VLOOKUP(B3064,'REGISTRO ABONOS'!$B$8:$BC$10012,54,0)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2"/>
        <v>105000</v>
      </c>
      <c r="K3065" t="e">
        <f>VLOOKUP(B3065,'REGISTRO ABONOS'!$B$8:$BC$10012,54,0)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2"/>
        <v>105000</v>
      </c>
      <c r="K3066" t="e">
        <f>VLOOKUP(B3066,'REGISTRO ABONOS'!$B$8:$BC$10012,54,0)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2"/>
        <v>105000</v>
      </c>
      <c r="K3067" t="e">
        <f>VLOOKUP(B3067,'REGISTRO ABONOS'!$B$8:$BC$10012,54,0)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ABONOS'!$B$8:$BC$10012,54,0)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3"/>
        <v>105000</v>
      </c>
      <c r="K3069" t="e">
        <f>VLOOKUP(B3069,'REGISTRO ABONOS'!$B$8:$BC$10012,54,0)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3"/>
        <v>105000</v>
      </c>
      <c r="K3070" t="e">
        <f>VLOOKUP(B3070,'REGISTRO ABONOS'!$B$8:$BC$10012,54,0)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3"/>
        <v>105000</v>
      </c>
      <c r="K3071" t="e">
        <f>VLOOKUP(B3071,'REGISTRO ABONOS'!$B$8:$BC$10012,54,0)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3"/>
        <v>105000</v>
      </c>
      <c r="K3072" t="e">
        <f>VLOOKUP(B3072,'REGISTRO ABONOS'!$B$8:$BC$10012,54,0)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3"/>
        <v>105000</v>
      </c>
      <c r="K3073" t="e">
        <f>VLOOKUP(B3073,'REGISTRO ABONOS'!$B$8:$BC$10012,54,0)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3"/>
        <v>105000</v>
      </c>
      <c r="K3074" t="e">
        <f>VLOOKUP(B3074,'REGISTRO ABONOS'!$B$8:$BC$10012,54,0)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3"/>
        <v>105000</v>
      </c>
      <c r="K3075" t="e">
        <f>VLOOKUP(B3075,'REGISTRO ABONOS'!$B$8:$BC$10012,54,0)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3"/>
        <v>105000</v>
      </c>
      <c r="K3076" t="e">
        <f>VLOOKUP(B3076,'REGISTRO ABONOS'!$B$8:$BC$10012,54,0)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3"/>
        <v>105000</v>
      </c>
      <c r="K3077" t="e">
        <f>VLOOKUP(B3077,'REGISTRO ABONOS'!$B$8:$BC$10012,54,0)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3"/>
        <v>105000</v>
      </c>
      <c r="K3078" t="e">
        <f>VLOOKUP(B3078,'REGISTRO ABONOS'!$B$8:$BC$10012,54,0)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3"/>
        <v>105000</v>
      </c>
      <c r="K3079" t="e">
        <f>VLOOKUP(B3079,'REGISTRO ABONOS'!$B$8:$BC$10012,54,0)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3"/>
        <v>105000</v>
      </c>
      <c r="K3080" t="e">
        <f>VLOOKUP(B3080,'REGISTRO ABONOS'!$B$8:$BC$10012,54,0)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3"/>
        <v>105000</v>
      </c>
      <c r="K3081" t="e">
        <f>VLOOKUP(B3081,'REGISTRO ABONOS'!$B$8:$BC$10012,54,0)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3"/>
        <v>105000</v>
      </c>
      <c r="K3082" t="e">
        <f>VLOOKUP(B3082,'REGISTRO ABONOS'!$B$8:$BC$10012,54,0)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3"/>
        <v>105000</v>
      </c>
      <c r="K3083" t="e">
        <f>VLOOKUP(B3083,'REGISTRO ABONOS'!$B$8:$BC$10012,54,0)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3"/>
        <v>105000</v>
      </c>
      <c r="K3084" t="e">
        <f>VLOOKUP(B3084,'REGISTRO ABONOS'!$B$8:$BC$10012,54,0)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3"/>
        <v>105000</v>
      </c>
      <c r="K3085" t="e">
        <f>VLOOKUP(B3085,'REGISTRO ABONOS'!$B$8:$BC$10012,54,0)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3"/>
        <v>105000</v>
      </c>
      <c r="K3086" t="e">
        <f>VLOOKUP(B3086,'REGISTRO ABONOS'!$B$8:$BC$10012,54,0)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3"/>
        <v>105000</v>
      </c>
      <c r="K3087" t="e">
        <f>VLOOKUP(B3087,'REGISTRO ABONOS'!$B$8:$BC$10012,54,0)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3"/>
        <v>105000</v>
      </c>
      <c r="K3088" t="e">
        <f>VLOOKUP(B3088,'REGISTRO ABONOS'!$B$8:$BC$10012,54,0)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3"/>
        <v>105000</v>
      </c>
      <c r="K3089" t="e">
        <f>VLOOKUP(B3089,'REGISTRO ABONOS'!$B$8:$BC$10012,54,0)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3"/>
        <v>105000</v>
      </c>
      <c r="K3090" t="e">
        <f>VLOOKUP(B3090,'REGISTRO ABONOS'!$B$8:$BC$10012,54,0)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3"/>
        <v>105000</v>
      </c>
      <c r="K3091" t="e">
        <f>VLOOKUP(B3091,'REGISTRO ABONOS'!$B$8:$BC$10012,54,0)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3"/>
        <v>105000</v>
      </c>
      <c r="K3092" t="e">
        <f>VLOOKUP(B3092,'REGISTRO ABONOS'!$B$8:$BC$10012,54,0)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3"/>
        <v>105000</v>
      </c>
      <c r="K3093" t="e">
        <f>VLOOKUP(B3093,'REGISTRO ABONOS'!$B$8:$BC$10012,54,0)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3"/>
        <v>105000</v>
      </c>
      <c r="K3094" t="e">
        <f>VLOOKUP(B3094,'REGISTRO ABONOS'!$B$8:$BC$10012,54,0)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3"/>
        <v>105000</v>
      </c>
      <c r="K3095" t="e">
        <f>VLOOKUP(B3095,'REGISTRO ABONOS'!$B$8:$BC$10012,54,0)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3"/>
        <v>105000</v>
      </c>
      <c r="K3096" t="e">
        <f>VLOOKUP(B3096,'REGISTRO ABONOS'!$B$8:$BC$10012,54,0)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3"/>
        <v>105000</v>
      </c>
      <c r="K3097" t="e">
        <f>VLOOKUP(B3097,'REGISTRO ABONOS'!$B$8:$BC$10012,54,0)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3"/>
        <v>105000</v>
      </c>
      <c r="K3098" t="e">
        <f>VLOOKUP(B3098,'REGISTRO ABONOS'!$B$8:$BC$10012,54,0)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3"/>
        <v>105000</v>
      </c>
      <c r="K3099" t="e">
        <f>VLOOKUP(B3099,'REGISTRO ABONOS'!$B$8:$BC$10012,54,0)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3"/>
        <v>105000</v>
      </c>
      <c r="K3100" t="e">
        <f>VLOOKUP(B3100,'REGISTRO ABONOS'!$B$8:$BC$10012,54,0)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3"/>
        <v>105000</v>
      </c>
      <c r="K3101" t="e">
        <f>VLOOKUP(B3101,'REGISTRO ABONOS'!$B$8:$BC$10012,54,0)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3"/>
        <v>105000</v>
      </c>
      <c r="K3102" t="e">
        <f>VLOOKUP(B3102,'REGISTRO ABONOS'!$B$8:$BC$10012,54,0)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3"/>
        <v>105000</v>
      </c>
      <c r="K3103" t="e">
        <f>VLOOKUP(B3103,'REGISTRO ABONOS'!$B$8:$BC$10012,54,0)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3"/>
        <v>105000</v>
      </c>
      <c r="K3104" t="e">
        <f>VLOOKUP(B3104,'REGISTRO ABONOS'!$B$8:$BC$10012,54,0)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3"/>
        <v>105000</v>
      </c>
      <c r="K3105" t="e">
        <f>VLOOKUP(B3105,'REGISTRO ABONOS'!$B$8:$BC$10012,54,0)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3"/>
        <v>105000</v>
      </c>
      <c r="K3106" t="e">
        <f>VLOOKUP(B3106,'REGISTRO ABONOS'!$B$8:$BC$10012,54,0)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3"/>
        <v>105000</v>
      </c>
      <c r="K3107" t="e">
        <f>VLOOKUP(B3107,'REGISTRO ABONOS'!$B$8:$BC$10012,54,0)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3"/>
        <v>105000</v>
      </c>
      <c r="K3108" t="e">
        <f>VLOOKUP(B3108,'REGISTRO ABONOS'!$B$8:$BC$10012,54,0)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3"/>
        <v>105000</v>
      </c>
      <c r="K3109" t="e">
        <f>VLOOKUP(B3109,'REGISTRO ABONOS'!$B$8:$BC$10012,54,0)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3"/>
        <v>105000</v>
      </c>
      <c r="K3110" t="e">
        <f>VLOOKUP(B3110,'REGISTRO ABONOS'!$B$8:$BC$10012,54,0)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3"/>
        <v>105000</v>
      </c>
      <c r="K3111" t="e">
        <f>VLOOKUP(B3111,'REGISTRO ABONOS'!$B$8:$BC$10012,54,0)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3"/>
        <v>105000</v>
      </c>
      <c r="K3112" t="e">
        <f>VLOOKUP(B3112,'REGISTRO ABONOS'!$B$8:$BC$10012,54,0)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3"/>
        <v>105000</v>
      </c>
      <c r="K3113" t="e">
        <f>VLOOKUP(B3113,'REGISTRO ABONOS'!$B$8:$BC$10012,54,0)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3"/>
        <v>105000</v>
      </c>
      <c r="K3114" t="e">
        <f>VLOOKUP(B3114,'REGISTRO ABONOS'!$B$8:$BC$10012,54,0)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3"/>
        <v>105000</v>
      </c>
      <c r="K3115" t="e">
        <f>VLOOKUP(B3115,'REGISTRO ABONOS'!$B$8:$BC$10012,54,0)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3"/>
        <v>105000</v>
      </c>
      <c r="K3116" t="e">
        <f>VLOOKUP(B3116,'REGISTRO ABONOS'!$B$8:$BC$10012,54,0)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J3117">
        <f t="shared" si="53"/>
        <v>105000</v>
      </c>
      <c r="K3117" t="e">
        <f>VLOOKUP(B3117,'REGISTRO ABONOS'!$B$8:$BC$10012,54,0)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3"/>
        <v>105000</v>
      </c>
      <c r="K3118" t="e">
        <f>VLOOKUP(B3118,'REGISTRO ABONOS'!$B$8:$BC$10012,54,0)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3"/>
        <v>105000</v>
      </c>
      <c r="K3119" t="e">
        <f>VLOOKUP(B3119,'REGISTRO ABONOS'!$B$8:$BC$10012,54,0)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3"/>
        <v>105000</v>
      </c>
      <c r="K3120" t="e">
        <f>VLOOKUP(B3120,'REGISTRO ABONOS'!$B$8:$BC$10012,54,0)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3"/>
        <v>105000</v>
      </c>
      <c r="K3121" t="e">
        <f>VLOOKUP(B3121,'REGISTRO ABONOS'!$B$8:$BC$10012,54,0)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3"/>
        <v>105000</v>
      </c>
      <c r="K3122" t="e">
        <f>VLOOKUP(B3122,'REGISTRO ABONOS'!$B$8:$BC$10012,54,0)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3"/>
        <v>105000</v>
      </c>
      <c r="K3123" t="e">
        <f>VLOOKUP(B3123,'REGISTRO ABONOS'!$B$8:$BC$10012,54,0)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3"/>
        <v>105000</v>
      </c>
      <c r="K3124" t="e">
        <f>VLOOKUP(B3124,'REGISTRO ABONOS'!$B$8:$BC$10012,54,0)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3"/>
        <v>105000</v>
      </c>
      <c r="K3125" t="e">
        <f>VLOOKUP(B3125,'REGISTRO ABONOS'!$B$8:$BC$10012,54,0)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3"/>
        <v>105000</v>
      </c>
      <c r="K3126" t="e">
        <f>VLOOKUP(B3126,'REGISTRO ABONOS'!$B$8:$BC$10012,54,0)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J3127">
        <f t="shared" si="53"/>
        <v>105000</v>
      </c>
      <c r="K3127" t="e">
        <f>VLOOKUP(B3127,'REGISTRO ABONOS'!$B$8:$BC$10012,54,0)</f>
        <v>#N/A</v>
      </c>
      <c r="L3127" t="e">
        <f>IF(Tabla26[[#This Row],[VALOR RESTANTE]]&lt;Tabla26[[#This Row],[VALOR]],"NO DISPONIBLE","DISPONIBLE")</f>
        <v>#N/A</v>
      </c>
      <c r="M3127" s="9">
        <f>COUNTIF(Tabla26[[#This Row],[VALOR RESTANTE]],0)</f>
        <v>0</v>
      </c>
    </row>
    <row r="3128" spans="2:13" x14ac:dyDescent="0.2">
      <c r="B3128" s="31">
        <v>3119</v>
      </c>
      <c r="J3128">
        <f t="shared" si="53"/>
        <v>105000</v>
      </c>
      <c r="K3128" t="e">
        <f>VLOOKUP(B3128,'REGISTRO ABONOS'!$B$8:$BC$10012,54,0)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3"/>
        <v>105000</v>
      </c>
      <c r="K3129" t="e">
        <f>VLOOKUP(B3129,'REGISTRO ABONOS'!$B$8:$BC$10012,54,0)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3"/>
        <v>105000</v>
      </c>
      <c r="K3130" t="e">
        <f>VLOOKUP(B3130,'REGISTRO ABONOS'!$B$8:$BC$10012,54,0)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3"/>
        <v>105000</v>
      </c>
      <c r="K3131" t="e">
        <f>VLOOKUP(B3131,'REGISTRO ABONOS'!$B$8:$BC$10012,54,0)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ABONOS'!$B$8:$BC$10012,54,0)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4"/>
        <v>105000</v>
      </c>
      <c r="K3133" t="e">
        <f>VLOOKUP(B3133,'REGISTRO ABONOS'!$B$8:$BC$10012,54,0)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4"/>
        <v>105000</v>
      </c>
      <c r="K3134" t="e">
        <f>VLOOKUP(B3134,'REGISTRO ABONOS'!$B$8:$BC$10012,54,0)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4"/>
        <v>105000</v>
      </c>
      <c r="K3135" t="e">
        <f>VLOOKUP(B3135,'REGISTRO ABONOS'!$B$8:$BC$10012,54,0)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4"/>
        <v>105000</v>
      </c>
      <c r="K3136" t="e">
        <f>VLOOKUP(B3136,'REGISTRO ABONOS'!$B$8:$BC$10012,54,0)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4"/>
        <v>105000</v>
      </c>
      <c r="K3137" t="e">
        <f>VLOOKUP(B3137,'REGISTRO ABONOS'!$B$8:$BC$10012,54,0)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4"/>
        <v>105000</v>
      </c>
      <c r="K3138" t="e">
        <f>VLOOKUP(B3138,'REGISTRO ABONOS'!$B$8:$BC$10012,54,0)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4"/>
        <v>105000</v>
      </c>
      <c r="K3139" t="e">
        <f>VLOOKUP(B3139,'REGISTRO ABONOS'!$B$8:$BC$10012,54,0)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4"/>
        <v>105000</v>
      </c>
      <c r="K3140" t="e">
        <f>VLOOKUP(B3140,'REGISTRO ABONOS'!$B$8:$BC$10012,54,0)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4"/>
        <v>105000</v>
      </c>
      <c r="K3141" t="e">
        <f>VLOOKUP(B3141,'REGISTRO ABONOS'!$B$8:$BC$10012,54,0)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4"/>
        <v>105000</v>
      </c>
      <c r="K3142" t="e">
        <f>VLOOKUP(B3142,'REGISTRO ABONOS'!$B$8:$BC$10012,54,0)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4"/>
        <v>105000</v>
      </c>
      <c r="K3143" t="e">
        <f>VLOOKUP(B3143,'REGISTRO ABONOS'!$B$8:$BC$10012,54,0)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4"/>
        <v>105000</v>
      </c>
      <c r="K3144" t="e">
        <f>VLOOKUP(B3144,'REGISTRO ABONOS'!$B$8:$BC$10012,54,0)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4"/>
        <v>105000</v>
      </c>
      <c r="K3145" t="e">
        <f>VLOOKUP(B3145,'REGISTRO ABONOS'!$B$8:$BC$10012,54,0)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4"/>
        <v>105000</v>
      </c>
      <c r="K3146" t="e">
        <f>VLOOKUP(B3146,'REGISTRO ABONOS'!$B$8:$BC$10012,54,0)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4"/>
        <v>105000</v>
      </c>
      <c r="K3147" t="e">
        <f>VLOOKUP(B3147,'REGISTRO ABONOS'!$B$8:$BC$10012,54,0)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4"/>
        <v>105000</v>
      </c>
      <c r="K3148" t="e">
        <f>VLOOKUP(B3148,'REGISTRO ABONOS'!$B$8:$BC$10012,54,0)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4"/>
        <v>105000</v>
      </c>
      <c r="K3149" t="e">
        <f>VLOOKUP(B3149,'REGISTRO ABONOS'!$B$8:$BC$10012,54,0)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4"/>
        <v>105000</v>
      </c>
      <c r="K3150" t="e">
        <f>VLOOKUP(B3150,'REGISTRO ABONOS'!$B$8:$BC$10012,54,0)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4"/>
        <v>105000</v>
      </c>
      <c r="K3151" t="e">
        <f>VLOOKUP(B3151,'REGISTRO ABONOS'!$B$8:$BC$10012,54,0)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4"/>
        <v>105000</v>
      </c>
      <c r="K3152" t="e">
        <f>VLOOKUP(B3152,'REGISTRO ABONOS'!$B$8:$BC$10012,54,0)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4"/>
        <v>105000</v>
      </c>
      <c r="K3153" t="e">
        <f>VLOOKUP(B3153,'REGISTRO ABONOS'!$B$8:$BC$10012,54,0)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4"/>
        <v>105000</v>
      </c>
      <c r="K3154" t="e">
        <f>VLOOKUP(B3154,'REGISTRO ABONOS'!$B$8:$BC$10012,54,0)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4"/>
        <v>105000</v>
      </c>
      <c r="K3155" t="e">
        <f>VLOOKUP(B3155,'REGISTRO ABONOS'!$B$8:$BC$10012,54,0)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4"/>
        <v>105000</v>
      </c>
      <c r="K3156" t="e">
        <f>VLOOKUP(B3156,'REGISTRO ABONOS'!$B$8:$BC$10012,54,0)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4"/>
        <v>105000</v>
      </c>
      <c r="K3157" t="e">
        <f>VLOOKUP(B3157,'REGISTRO ABONOS'!$B$8:$BC$10012,54,0)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4"/>
        <v>105000</v>
      </c>
      <c r="K3158" t="e">
        <f>VLOOKUP(B3158,'REGISTRO ABONOS'!$B$8:$BC$10012,54,0)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4"/>
        <v>105000</v>
      </c>
      <c r="K3159" t="e">
        <f>VLOOKUP(B3159,'REGISTRO ABONOS'!$B$8:$BC$10012,54,0)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4"/>
        <v>105000</v>
      </c>
      <c r="K3160" t="e">
        <f>VLOOKUP(B3160,'REGISTRO ABONOS'!$B$8:$BC$10012,54,0)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4"/>
        <v>105000</v>
      </c>
      <c r="K3161" t="e">
        <f>VLOOKUP(B3161,'REGISTRO ABONOS'!$B$8:$BC$10012,54,0)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4"/>
        <v>105000</v>
      </c>
      <c r="K3162" t="e">
        <f>VLOOKUP(B3162,'REGISTRO ABONOS'!$B$8:$BC$10012,54,0)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4"/>
        <v>105000</v>
      </c>
      <c r="K3163" t="e">
        <f>VLOOKUP(B3163,'REGISTRO ABONOS'!$B$8:$BC$10012,54,0)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4"/>
        <v>105000</v>
      </c>
      <c r="K3164" t="e">
        <f>VLOOKUP(B3164,'REGISTRO ABONOS'!$B$8:$BC$10012,54,0)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4"/>
        <v>105000</v>
      </c>
      <c r="K3165" t="e">
        <f>VLOOKUP(B3165,'REGISTRO ABONOS'!$B$8:$BC$10012,54,0)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4"/>
        <v>105000</v>
      </c>
      <c r="K3166" t="e">
        <f>VLOOKUP(B3166,'REGISTRO ABONOS'!$B$8:$BC$10012,54,0)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4"/>
        <v>105000</v>
      </c>
      <c r="K3167" t="e">
        <f>VLOOKUP(B3167,'REGISTRO ABONOS'!$B$8:$BC$10012,54,0)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4"/>
        <v>105000</v>
      </c>
      <c r="K3168" t="e">
        <f>VLOOKUP(B3168,'REGISTRO ABONOS'!$B$8:$BC$10012,54,0)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4"/>
        <v>105000</v>
      </c>
      <c r="K3169" t="e">
        <f>VLOOKUP(B3169,'REGISTRO ABONOS'!$B$8:$BC$10012,54,0)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4"/>
        <v>105000</v>
      </c>
      <c r="K3170" t="e">
        <f>VLOOKUP(B3170,'REGISTRO ABONOS'!$B$8:$BC$10012,54,0)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4"/>
        <v>105000</v>
      </c>
      <c r="K3171" t="e">
        <f>VLOOKUP(B3171,'REGISTRO ABONOS'!$B$8:$BC$10012,54,0)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4"/>
        <v>105000</v>
      </c>
      <c r="K3172" t="e">
        <f>VLOOKUP(B3172,'REGISTRO ABONOS'!$B$8:$BC$10012,54,0)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4"/>
        <v>105000</v>
      </c>
      <c r="K3173" t="e">
        <f>VLOOKUP(B3173,'REGISTRO ABONOS'!$B$8:$BC$10012,54,0)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4"/>
        <v>105000</v>
      </c>
      <c r="K3174" t="e">
        <f>VLOOKUP(B3174,'REGISTRO ABONOS'!$B$8:$BC$10012,54,0)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4"/>
        <v>105000</v>
      </c>
      <c r="K3175" t="e">
        <f>VLOOKUP(B3175,'REGISTRO ABONOS'!$B$8:$BC$10012,54,0)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4"/>
        <v>105000</v>
      </c>
      <c r="K3176" t="e">
        <f>VLOOKUP(B3176,'REGISTRO ABONOS'!$B$8:$BC$10012,54,0)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4"/>
        <v>105000</v>
      </c>
      <c r="K3177" t="e">
        <f>VLOOKUP(B3177,'REGISTRO ABONOS'!$B$8:$BC$10012,54,0)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4"/>
        <v>105000</v>
      </c>
      <c r="K3178" t="e">
        <f>VLOOKUP(B3178,'REGISTRO ABONOS'!$B$8:$BC$10012,54,0)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4"/>
        <v>105000</v>
      </c>
      <c r="K3179" t="e">
        <f>VLOOKUP(B3179,'REGISTRO ABONOS'!$B$8:$BC$10012,54,0)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4"/>
        <v>105000</v>
      </c>
      <c r="K3180" t="e">
        <f>VLOOKUP(B3180,'REGISTRO ABONOS'!$B$8:$BC$10012,54,0)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4"/>
        <v>105000</v>
      </c>
      <c r="K3181" t="e">
        <f>VLOOKUP(B3181,'REGISTRO ABONOS'!$B$8:$BC$10012,54,0)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4"/>
        <v>105000</v>
      </c>
      <c r="K3182" t="e">
        <f>VLOOKUP(B3182,'REGISTRO ABONOS'!$B$8:$BC$10012,54,0)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4"/>
        <v>105000</v>
      </c>
      <c r="K3183" t="e">
        <f>VLOOKUP(B3183,'REGISTRO ABONOS'!$B$8:$BC$10012,54,0)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4"/>
        <v>105000</v>
      </c>
      <c r="K3184" t="e">
        <f>VLOOKUP(B3184,'REGISTRO ABONOS'!$B$8:$BC$10012,54,0)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4"/>
        <v>105000</v>
      </c>
      <c r="K3185" t="e">
        <f>VLOOKUP(B3185,'REGISTRO ABONOS'!$B$8:$BC$10012,54,0)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4"/>
        <v>105000</v>
      </c>
      <c r="K3186" t="e">
        <f>VLOOKUP(B3186,'REGISTRO ABONOS'!$B$8:$BC$10012,54,0)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4"/>
        <v>105000</v>
      </c>
      <c r="K3187" t="e">
        <f>VLOOKUP(B3187,'REGISTRO ABONOS'!$B$8:$BC$10012,54,0)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4"/>
        <v>105000</v>
      </c>
      <c r="K3188" t="e">
        <f>VLOOKUP(B3188,'REGISTRO ABONOS'!$B$8:$BC$10012,54,0)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4"/>
        <v>105000</v>
      </c>
      <c r="K3189" t="e">
        <f>VLOOKUP(B3189,'REGISTRO ABONOS'!$B$8:$BC$10012,54,0)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ABONOS'!$B$8:$BC$10012,54,0)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5"/>
        <v>105000</v>
      </c>
      <c r="K3191" t="e">
        <f>VLOOKUP(B3191,'REGISTRO ABONOS'!$B$8:$BC$10012,54,0)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5"/>
        <v>105000</v>
      </c>
      <c r="K3192" t="e">
        <f>VLOOKUP(B3192,'REGISTRO ABONOS'!$B$8:$BC$10012,54,0)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5"/>
        <v>105000</v>
      </c>
      <c r="K3193" t="e">
        <f>VLOOKUP(B3193,'REGISTRO ABONOS'!$B$8:$BC$10012,54,0)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5"/>
        <v>105000</v>
      </c>
      <c r="K3194" t="e">
        <f>VLOOKUP(B3194,'REGISTRO ABONOS'!$B$8:$BC$10012,54,0)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5"/>
        <v>105000</v>
      </c>
      <c r="K3195" t="e">
        <f>VLOOKUP(B3195,'REGISTRO ABONOS'!$B$8:$BC$10012,54,0)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5"/>
        <v>105000</v>
      </c>
      <c r="K3196" t="e">
        <f>VLOOKUP(B3196,'REGISTRO ABONOS'!$B$8:$BC$10012,54,0)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5"/>
        <v>105000</v>
      </c>
      <c r="K3197" t="e">
        <f>VLOOKUP(B3197,'REGISTRO ABONOS'!$B$8:$BC$10012,54,0)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5"/>
        <v>105000</v>
      </c>
      <c r="K3198" t="e">
        <f>VLOOKUP(B3198,'REGISTRO ABONOS'!$B$8:$BC$10012,54,0)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5"/>
        <v>105000</v>
      </c>
      <c r="K3199" t="e">
        <f>VLOOKUP(B3199,'REGISTRO ABONOS'!$B$8:$BC$10012,54,0)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5"/>
        <v>105000</v>
      </c>
      <c r="K3200" t="e">
        <f>VLOOKUP(B3200,'REGISTRO ABONOS'!$B$8:$BC$10012,54,0)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5"/>
        <v>105000</v>
      </c>
      <c r="K3201" t="e">
        <f>VLOOKUP(B3201,'REGISTRO ABONOS'!$B$8:$BC$10012,54,0)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5"/>
        <v>105000</v>
      </c>
      <c r="K3202" t="e">
        <f>VLOOKUP(B3202,'REGISTRO ABONOS'!$B$8:$BC$10012,54,0)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5"/>
        <v>105000</v>
      </c>
      <c r="K3203" t="e">
        <f>VLOOKUP(B3203,'REGISTRO ABONOS'!$B$8:$BC$10012,54,0)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5"/>
        <v>105000</v>
      </c>
      <c r="K3204" t="e">
        <f>VLOOKUP(B3204,'REGISTRO ABONOS'!$B$8:$BC$10012,54,0)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5"/>
        <v>105000</v>
      </c>
      <c r="K3205" t="e">
        <f>VLOOKUP(B3205,'REGISTRO ABONOS'!$B$8:$BC$10012,54,0)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5"/>
        <v>105000</v>
      </c>
      <c r="K3206" t="e">
        <f>VLOOKUP(B3206,'REGISTRO ABONOS'!$B$8:$BC$10012,54,0)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5"/>
        <v>105000</v>
      </c>
      <c r="K3207" t="e">
        <f>VLOOKUP(B3207,'REGISTRO ABONOS'!$B$8:$BC$10012,54,0)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5"/>
        <v>105000</v>
      </c>
      <c r="K3208" t="e">
        <f>VLOOKUP(B3208,'REGISTRO ABONOS'!$B$8:$BC$10012,54,0)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5"/>
        <v>105000</v>
      </c>
      <c r="K3209" t="e">
        <f>VLOOKUP(B3209,'REGISTRO ABONOS'!$B$8:$BC$10012,54,0)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5"/>
        <v>105000</v>
      </c>
      <c r="K3210" t="e">
        <f>VLOOKUP(B3210,'REGISTRO ABONOS'!$B$8:$BC$10012,54,0)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5"/>
        <v>105000</v>
      </c>
      <c r="K3211" t="e">
        <f>VLOOKUP(B3211,'REGISTRO ABONOS'!$B$8:$BC$10012,54,0)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5"/>
        <v>105000</v>
      </c>
      <c r="K3212" t="e">
        <f>VLOOKUP(B3212,'REGISTRO ABONOS'!$B$8:$BC$10012,54,0)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5"/>
        <v>105000</v>
      </c>
      <c r="K3213" t="e">
        <f>VLOOKUP(B3213,'REGISTRO ABONOS'!$B$8:$BC$10012,54,0)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5"/>
        <v>105000</v>
      </c>
      <c r="K3214" t="e">
        <f>VLOOKUP(B3214,'REGISTRO ABONOS'!$B$8:$BC$10012,54,0)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5"/>
        <v>105000</v>
      </c>
      <c r="K3215" t="e">
        <f>VLOOKUP(B3215,'REGISTRO ABONOS'!$B$8:$BC$10012,54,0)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5"/>
        <v>105000</v>
      </c>
      <c r="K3216" t="e">
        <f>VLOOKUP(B3216,'REGISTRO ABONOS'!$B$8:$BC$10012,54,0)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5"/>
        <v>105000</v>
      </c>
      <c r="K3217" t="e">
        <f>VLOOKUP(B3217,'REGISTRO ABONOS'!$B$8:$BC$10012,54,0)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5"/>
        <v>105000</v>
      </c>
      <c r="K3218" t="e">
        <f>VLOOKUP(B3218,'REGISTRO ABONOS'!$B$8:$BC$10012,54,0)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5"/>
        <v>105000</v>
      </c>
      <c r="K3219" t="e">
        <f>VLOOKUP(B3219,'REGISTRO ABONOS'!$B$8:$BC$10012,54,0)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5"/>
        <v>105000</v>
      </c>
      <c r="K3220" t="e">
        <f>VLOOKUP(B3220,'REGISTRO ABONOS'!$B$8:$BC$10012,54,0)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5"/>
        <v>105000</v>
      </c>
      <c r="K3221" t="e">
        <f>VLOOKUP(B3221,'REGISTRO ABONOS'!$B$8:$BC$10012,54,0)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5"/>
        <v>105000</v>
      </c>
      <c r="K3222" t="e">
        <f>VLOOKUP(B3222,'REGISTRO ABONOS'!$B$8:$BC$10012,54,0)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5"/>
        <v>105000</v>
      </c>
      <c r="K3223" t="e">
        <f>VLOOKUP(B3223,'REGISTRO ABONOS'!$B$8:$BC$10012,54,0)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5"/>
        <v>105000</v>
      </c>
      <c r="K3224" t="e">
        <f>VLOOKUP(B3224,'REGISTRO ABONOS'!$B$8:$BC$10012,54,0)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5"/>
        <v>105000</v>
      </c>
      <c r="K3225" t="e">
        <f>VLOOKUP(B3225,'REGISTRO ABONOS'!$B$8:$BC$10012,54,0)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5"/>
        <v>105000</v>
      </c>
      <c r="K3226" t="e">
        <f>VLOOKUP(B3226,'REGISTRO ABONOS'!$B$8:$BC$10012,54,0)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5"/>
        <v>105000</v>
      </c>
      <c r="K3227" t="e">
        <f>VLOOKUP(B3227,'REGISTRO ABONOS'!$B$8:$BC$10012,54,0)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5"/>
        <v>105000</v>
      </c>
      <c r="K3228" t="e">
        <f>VLOOKUP(B3228,'REGISTRO ABONOS'!$B$8:$BC$10012,54,0)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5"/>
        <v>105000</v>
      </c>
      <c r="K3229" t="e">
        <f>VLOOKUP(B3229,'REGISTRO ABONOS'!$B$8:$BC$10012,54,0)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5"/>
        <v>105000</v>
      </c>
      <c r="K3230" t="e">
        <f>VLOOKUP(B3230,'REGISTRO ABONOS'!$B$8:$BC$10012,54,0)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5"/>
        <v>105000</v>
      </c>
      <c r="K3231" t="e">
        <f>VLOOKUP(B3231,'REGISTRO ABONOS'!$B$8:$BC$10012,54,0)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5"/>
        <v>105000</v>
      </c>
      <c r="K3232" t="e">
        <f>VLOOKUP(B3232,'REGISTRO ABONOS'!$B$8:$BC$10012,54,0)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5"/>
        <v>105000</v>
      </c>
      <c r="K3233" t="e">
        <f>VLOOKUP(B3233,'REGISTRO ABONOS'!$B$8:$BC$10012,54,0)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5"/>
        <v>105000</v>
      </c>
      <c r="K3234" t="e">
        <f>VLOOKUP(B3234,'REGISTRO ABONOS'!$B$8:$BC$10012,54,0)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5"/>
        <v>105000</v>
      </c>
      <c r="K3235" t="e">
        <f>VLOOKUP(B3235,'REGISTRO ABONOS'!$B$8:$BC$10012,54,0)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5"/>
        <v>105000</v>
      </c>
      <c r="K3236" t="e">
        <f>VLOOKUP(B3236,'REGISTRO ABONOS'!$B$8:$BC$10012,54,0)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5"/>
        <v>105000</v>
      </c>
      <c r="K3237" t="e">
        <f>VLOOKUP(B3237,'REGISTRO ABONOS'!$B$8:$BC$10012,54,0)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5"/>
        <v>105000</v>
      </c>
      <c r="K3238" t="e">
        <f>VLOOKUP(B3238,'REGISTRO ABONOS'!$B$8:$BC$10012,54,0)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5"/>
        <v>105000</v>
      </c>
      <c r="K3239" t="e">
        <f>VLOOKUP(B3239,'REGISTRO ABONOS'!$B$8:$BC$10012,54,0)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5"/>
        <v>105000</v>
      </c>
      <c r="K3240" t="e">
        <f>VLOOKUP(B3240,'REGISTRO ABONOS'!$B$8:$BC$10012,54,0)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5"/>
        <v>105000</v>
      </c>
      <c r="K3241" t="e">
        <f>VLOOKUP(B3241,'REGISTRO ABONOS'!$B$8:$BC$10012,54,0)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5"/>
        <v>105000</v>
      </c>
      <c r="K3242" t="e">
        <f>VLOOKUP(B3242,'REGISTRO ABONOS'!$B$8:$BC$10012,54,0)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5"/>
        <v>105000</v>
      </c>
      <c r="K3243" t="e">
        <f>VLOOKUP(B3243,'REGISTRO ABONOS'!$B$8:$BC$10012,54,0)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5"/>
        <v>105000</v>
      </c>
      <c r="K3244" t="e">
        <f>VLOOKUP(B3244,'REGISTRO ABONOS'!$B$8:$BC$10012,54,0)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5"/>
        <v>105000</v>
      </c>
      <c r="K3245" t="e">
        <f>VLOOKUP(B3245,'REGISTRO ABONOS'!$B$8:$BC$10012,54,0)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5"/>
        <v>105000</v>
      </c>
      <c r="K3246" t="e">
        <f>VLOOKUP(B3246,'REGISTRO ABONOS'!$B$8:$BC$10012,54,0)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5"/>
        <v>105000</v>
      </c>
      <c r="K3247" t="e">
        <f>VLOOKUP(B3247,'REGISTRO ABONOS'!$B$8:$BC$10012,54,0)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5"/>
        <v>105000</v>
      </c>
      <c r="K3248" t="e">
        <f>VLOOKUP(B3248,'REGISTRO ABONOS'!$B$8:$BC$10012,54,0)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5"/>
        <v>105000</v>
      </c>
      <c r="K3249" t="e">
        <f>VLOOKUP(B3249,'REGISTRO ABONOS'!$B$8:$BC$10012,54,0)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5"/>
        <v>105000</v>
      </c>
      <c r="K3250" t="e">
        <f>VLOOKUP(B3250,'REGISTRO ABONOS'!$B$8:$BC$10012,54,0)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5"/>
        <v>105000</v>
      </c>
      <c r="K3251" t="e">
        <f>VLOOKUP(B3251,'REGISTRO ABONOS'!$B$8:$BC$10012,54,0)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5"/>
        <v>105000</v>
      </c>
      <c r="K3252" t="e">
        <f>VLOOKUP(B3252,'REGISTRO ABONOS'!$B$8:$BC$10012,54,0)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5"/>
        <v>105000</v>
      </c>
      <c r="K3253" t="e">
        <f>VLOOKUP(B3253,'REGISTRO ABONOS'!$B$8:$BC$10012,54,0)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ABONOS'!$B$8:$BC$10012,54,0)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6"/>
        <v>105000</v>
      </c>
      <c r="K3255" t="e">
        <f>VLOOKUP(B3255,'REGISTRO ABONOS'!$B$8:$BC$10012,54,0)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6"/>
        <v>105000</v>
      </c>
      <c r="K3256" t="e">
        <f>VLOOKUP(B3256,'REGISTRO ABONOS'!$B$8:$BC$10012,54,0)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6"/>
        <v>105000</v>
      </c>
      <c r="K3257" t="e">
        <f>VLOOKUP(B3257,'REGISTRO ABONOS'!$B$8:$BC$10012,54,0)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6"/>
        <v>105000</v>
      </c>
      <c r="K3258" t="e">
        <f>VLOOKUP(B3258,'REGISTRO ABONOS'!$B$8:$BC$10012,54,0)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6"/>
        <v>105000</v>
      </c>
      <c r="K3259" t="e">
        <f>VLOOKUP(B3259,'REGISTRO ABONOS'!$B$8:$BC$10012,54,0)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6"/>
        <v>105000</v>
      </c>
      <c r="K3260" t="e">
        <f>VLOOKUP(B3260,'REGISTRO ABONOS'!$B$8:$BC$10012,54,0)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6"/>
        <v>105000</v>
      </c>
      <c r="K3261" t="e">
        <f>VLOOKUP(B3261,'REGISTRO ABONOS'!$B$8:$BC$10012,54,0)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6"/>
        <v>105000</v>
      </c>
      <c r="K3262" t="e">
        <f>VLOOKUP(B3262,'REGISTRO ABONOS'!$B$8:$BC$10012,54,0)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6"/>
        <v>105000</v>
      </c>
      <c r="K3263" t="e">
        <f>VLOOKUP(B3263,'REGISTRO ABONOS'!$B$8:$BC$10012,54,0)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6"/>
        <v>105000</v>
      </c>
      <c r="K3264" t="e">
        <f>VLOOKUP(B3264,'REGISTRO ABONOS'!$B$8:$BC$10012,54,0)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6"/>
        <v>105000</v>
      </c>
      <c r="K3265" t="e">
        <f>VLOOKUP(B3265,'REGISTRO ABONOS'!$B$8:$BC$10012,54,0)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6"/>
        <v>105000</v>
      </c>
      <c r="K3266" t="e">
        <f>VLOOKUP(B3266,'REGISTRO ABONOS'!$B$8:$BC$10012,54,0)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6"/>
        <v>105000</v>
      </c>
      <c r="K3267" t="e">
        <f>VLOOKUP(B3267,'REGISTRO ABONOS'!$B$8:$BC$10012,54,0)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6"/>
        <v>105000</v>
      </c>
      <c r="K3268" t="e">
        <f>VLOOKUP(B3268,'REGISTRO ABONOS'!$B$8:$BC$10012,54,0)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6"/>
        <v>105000</v>
      </c>
      <c r="K3269" t="e">
        <f>VLOOKUP(B3269,'REGISTRO ABONOS'!$B$8:$BC$10012,54,0)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6"/>
        <v>105000</v>
      </c>
      <c r="K3270" t="e">
        <f>VLOOKUP(B3270,'REGISTRO ABONOS'!$B$8:$BC$10012,54,0)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6"/>
        <v>105000</v>
      </c>
      <c r="K3271" t="e">
        <f>VLOOKUP(B3271,'REGISTRO ABONOS'!$B$8:$BC$10012,54,0)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6"/>
        <v>105000</v>
      </c>
      <c r="K3272" t="e">
        <f>VLOOKUP(B3272,'REGISTRO ABONOS'!$B$8:$BC$10012,54,0)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6"/>
        <v>105000</v>
      </c>
      <c r="K3273" t="e">
        <f>VLOOKUP(B3273,'REGISTRO ABONOS'!$B$8:$BC$10012,54,0)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6"/>
        <v>105000</v>
      </c>
      <c r="K3274" t="e">
        <f>VLOOKUP(B3274,'REGISTRO ABONOS'!$B$8:$BC$10012,54,0)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6"/>
        <v>105000</v>
      </c>
      <c r="K3275" t="e">
        <f>VLOOKUP(B3275,'REGISTRO ABONOS'!$B$8:$BC$10012,54,0)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6"/>
        <v>105000</v>
      </c>
      <c r="K3276" t="e">
        <f>VLOOKUP(B3276,'REGISTRO ABONOS'!$B$8:$BC$10012,54,0)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6"/>
        <v>105000</v>
      </c>
      <c r="K3277" t="e">
        <f>VLOOKUP(B3277,'REGISTRO ABONOS'!$B$8:$BC$10012,54,0)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6"/>
        <v>105000</v>
      </c>
      <c r="K3278" t="e">
        <f>VLOOKUP(B3278,'REGISTRO ABONOS'!$B$8:$BC$10012,54,0)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6"/>
        <v>105000</v>
      </c>
      <c r="K3279" t="e">
        <f>VLOOKUP(B3279,'REGISTRO ABONOS'!$B$8:$BC$10012,54,0)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6"/>
        <v>105000</v>
      </c>
      <c r="K3280" t="e">
        <f>VLOOKUP(B3280,'REGISTRO ABONOS'!$B$8:$BC$10012,54,0)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6"/>
        <v>105000</v>
      </c>
      <c r="K3281" t="e">
        <f>VLOOKUP(B3281,'REGISTRO ABONOS'!$B$8:$BC$10012,54,0)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6"/>
        <v>105000</v>
      </c>
      <c r="K3282" t="e">
        <f>VLOOKUP(B3282,'REGISTRO ABONOS'!$B$8:$BC$10012,54,0)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6"/>
        <v>105000</v>
      </c>
      <c r="K3283" t="e">
        <f>VLOOKUP(B3283,'REGISTRO ABONOS'!$B$8:$BC$10012,54,0)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6"/>
        <v>105000</v>
      </c>
      <c r="K3284" t="e">
        <f>VLOOKUP(B3284,'REGISTRO ABONOS'!$B$8:$BC$10012,54,0)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6"/>
        <v>105000</v>
      </c>
      <c r="K3285" t="e">
        <f>VLOOKUP(B3285,'REGISTRO ABONOS'!$B$8:$BC$10012,54,0)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6"/>
        <v>105000</v>
      </c>
      <c r="K3286" t="e">
        <f>VLOOKUP(B3286,'REGISTRO ABONOS'!$B$8:$BC$10012,54,0)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6"/>
        <v>105000</v>
      </c>
      <c r="K3287" t="e">
        <f>VLOOKUP(B3287,'REGISTRO ABONOS'!$B$8:$BC$10012,54,0)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6"/>
        <v>105000</v>
      </c>
      <c r="K3288" t="e">
        <f>VLOOKUP(B3288,'REGISTRO ABONOS'!$B$8:$BC$10012,54,0)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6"/>
        <v>105000</v>
      </c>
      <c r="K3289" t="e">
        <f>VLOOKUP(B3289,'REGISTRO ABONOS'!$B$8:$BC$10012,54,0)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6"/>
        <v>105000</v>
      </c>
      <c r="K3290" t="e">
        <f>VLOOKUP(B3290,'REGISTRO ABONOS'!$B$8:$BC$10012,54,0)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6"/>
        <v>105000</v>
      </c>
      <c r="K3291" t="e">
        <f>VLOOKUP(B3291,'REGISTRO ABONOS'!$B$8:$BC$10012,54,0)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6"/>
        <v>105000</v>
      </c>
      <c r="K3292" t="e">
        <f>VLOOKUP(B3292,'REGISTRO ABONOS'!$B$8:$BC$10012,54,0)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6"/>
        <v>105000</v>
      </c>
      <c r="K3293" t="e">
        <f>VLOOKUP(B3293,'REGISTRO ABONOS'!$B$8:$BC$10012,54,0)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6"/>
        <v>105000</v>
      </c>
      <c r="K3294" t="e">
        <f>VLOOKUP(B3294,'REGISTRO ABONOS'!$B$8:$BC$10012,54,0)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6"/>
        <v>105000</v>
      </c>
      <c r="K3295" t="e">
        <f>VLOOKUP(B3295,'REGISTRO ABONOS'!$B$8:$BC$10012,54,0)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6"/>
        <v>105000</v>
      </c>
      <c r="K3296" t="e">
        <f>VLOOKUP(B3296,'REGISTRO ABONOS'!$B$8:$BC$10012,54,0)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6"/>
        <v>105000</v>
      </c>
      <c r="K3297" t="e">
        <f>VLOOKUP(B3297,'REGISTRO ABONOS'!$B$8:$BC$10012,54,0)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6"/>
        <v>105000</v>
      </c>
      <c r="K3298" t="e">
        <f>VLOOKUP(B3298,'REGISTRO ABONOS'!$B$8:$BC$10012,54,0)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6"/>
        <v>105000</v>
      </c>
      <c r="K3299" t="e">
        <f>VLOOKUP(B3299,'REGISTRO ABONOS'!$B$8:$BC$10012,54,0)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6"/>
        <v>105000</v>
      </c>
      <c r="K3300" t="e">
        <f>VLOOKUP(B3300,'REGISTRO ABONOS'!$B$8:$BC$10012,54,0)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6"/>
        <v>105000</v>
      </c>
      <c r="K3301" t="e">
        <f>VLOOKUP(B3301,'REGISTRO ABONOS'!$B$8:$BC$10012,54,0)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6"/>
        <v>105000</v>
      </c>
      <c r="K3302" t="e">
        <f>VLOOKUP(B3302,'REGISTRO ABONOS'!$B$8:$BC$10012,54,0)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6"/>
        <v>105000</v>
      </c>
      <c r="K3303" t="e">
        <f>VLOOKUP(B3303,'REGISTRO ABONOS'!$B$8:$BC$10012,54,0)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6"/>
        <v>105000</v>
      </c>
      <c r="K3304" t="e">
        <f>VLOOKUP(B3304,'REGISTRO ABONOS'!$B$8:$BC$10012,54,0)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6"/>
        <v>105000</v>
      </c>
      <c r="K3305" t="e">
        <f>VLOOKUP(B3305,'REGISTRO ABONOS'!$B$8:$BC$10012,54,0)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6"/>
        <v>105000</v>
      </c>
      <c r="K3306" t="e">
        <f>VLOOKUP(B3306,'REGISTRO ABONOS'!$B$8:$BC$10012,54,0)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6"/>
        <v>105000</v>
      </c>
      <c r="K3307" t="e">
        <f>VLOOKUP(B3307,'REGISTRO ABONOS'!$B$8:$BC$10012,54,0)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6"/>
        <v>105000</v>
      </c>
      <c r="K3308" t="e">
        <f>VLOOKUP(B3308,'REGISTRO ABONOS'!$B$8:$BC$10012,54,0)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6"/>
        <v>105000</v>
      </c>
      <c r="K3309" t="e">
        <f>VLOOKUP(B3309,'REGISTRO ABONOS'!$B$8:$BC$10012,54,0)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6"/>
        <v>105000</v>
      </c>
      <c r="K3310" t="e">
        <f>VLOOKUP(B3310,'REGISTRO ABONOS'!$B$8:$BC$10012,54,0)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6"/>
        <v>105000</v>
      </c>
      <c r="K3311" t="e">
        <f>VLOOKUP(B3311,'REGISTRO ABONOS'!$B$8:$BC$10012,54,0)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6"/>
        <v>105000</v>
      </c>
      <c r="K3312" t="e">
        <f>VLOOKUP(B3312,'REGISTRO ABONOS'!$B$8:$BC$10012,54,0)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6"/>
        <v>105000</v>
      </c>
      <c r="K3313" t="e">
        <f>VLOOKUP(B3313,'REGISTRO ABONOS'!$B$8:$BC$10012,54,0)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6"/>
        <v>105000</v>
      </c>
      <c r="K3314" t="e">
        <f>VLOOKUP(B3314,'REGISTRO ABONOS'!$B$8:$BC$10012,54,0)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6"/>
        <v>105000</v>
      </c>
      <c r="K3315" t="e">
        <f>VLOOKUP(B3315,'REGISTRO ABONOS'!$B$8:$BC$10012,54,0)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6"/>
        <v>105000</v>
      </c>
      <c r="K3316" t="e">
        <f>VLOOKUP(B3316,'REGISTRO ABONOS'!$B$8:$BC$10012,54,0)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6"/>
        <v>105000</v>
      </c>
      <c r="K3317" t="e">
        <f>VLOOKUP(B3317,'REGISTRO ABONOS'!$B$8:$BC$10012,54,0)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ABONOS'!$B$8:$BC$10012,54,0)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7"/>
        <v>105000</v>
      </c>
      <c r="K3319" t="e">
        <f>VLOOKUP(B3319,'REGISTRO ABONOS'!$B$8:$BC$10012,54,0)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7"/>
        <v>105000</v>
      </c>
      <c r="K3320" t="e">
        <f>VLOOKUP(B3320,'REGISTRO ABONOS'!$B$8:$BC$10012,54,0)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7"/>
        <v>105000</v>
      </c>
      <c r="K3321" t="e">
        <f>VLOOKUP(B3321,'REGISTRO ABONOS'!$B$8:$BC$10012,54,0)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7"/>
        <v>105000</v>
      </c>
      <c r="K3322" t="e">
        <f>VLOOKUP(B3322,'REGISTRO ABONOS'!$B$8:$BC$10012,54,0)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7"/>
        <v>105000</v>
      </c>
      <c r="K3323" t="e">
        <f>VLOOKUP(B3323,'REGISTRO ABONOS'!$B$8:$BC$10012,54,0)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7"/>
        <v>105000</v>
      </c>
      <c r="K3324" t="e">
        <f>VLOOKUP(B3324,'REGISTRO ABONOS'!$B$8:$BC$10012,54,0)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7"/>
        <v>105000</v>
      </c>
      <c r="K3325" t="e">
        <f>VLOOKUP(B3325,'REGISTRO ABONOS'!$B$8:$BC$10012,54,0)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7"/>
        <v>105000</v>
      </c>
      <c r="K3326" t="e">
        <f>VLOOKUP(B3326,'REGISTRO ABONOS'!$B$8:$BC$10012,54,0)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7"/>
        <v>105000</v>
      </c>
      <c r="K3327" t="e">
        <f>VLOOKUP(B3327,'REGISTRO ABONOS'!$B$8:$BC$10012,54,0)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7"/>
        <v>105000</v>
      </c>
      <c r="K3328" t="e">
        <f>VLOOKUP(B3328,'REGISTRO ABONOS'!$B$8:$BC$10012,54,0)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7"/>
        <v>105000</v>
      </c>
      <c r="K3329" t="e">
        <f>VLOOKUP(B3329,'REGISTRO ABONOS'!$B$8:$BC$10012,54,0)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7"/>
        <v>105000</v>
      </c>
      <c r="K3330" t="e">
        <f>VLOOKUP(B3330,'REGISTRO ABONOS'!$B$8:$BC$10012,54,0)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7"/>
        <v>105000</v>
      </c>
      <c r="K3331" t="e">
        <f>VLOOKUP(B3331,'REGISTRO ABONOS'!$B$8:$BC$10012,54,0)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7"/>
        <v>105000</v>
      </c>
      <c r="K3332" t="e">
        <f>VLOOKUP(B3332,'REGISTRO ABONOS'!$B$8:$BC$10012,54,0)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7"/>
        <v>105000</v>
      </c>
      <c r="K3333" t="e">
        <f>VLOOKUP(B3333,'REGISTRO ABONOS'!$B$8:$BC$10012,54,0)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7"/>
        <v>105000</v>
      </c>
      <c r="K3334" t="e">
        <f>VLOOKUP(B3334,'REGISTRO ABONOS'!$B$8:$BC$10012,54,0)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7"/>
        <v>105000</v>
      </c>
      <c r="K3335" t="e">
        <f>VLOOKUP(B3335,'REGISTRO ABONOS'!$B$8:$BC$10012,54,0)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7"/>
        <v>105000</v>
      </c>
      <c r="K3336" t="e">
        <f>VLOOKUP(B3336,'REGISTRO ABONOS'!$B$8:$BC$10012,54,0)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7"/>
        <v>105000</v>
      </c>
      <c r="K3337" t="e">
        <f>VLOOKUP(B3337,'REGISTRO ABONOS'!$B$8:$BC$10012,54,0)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7"/>
        <v>105000</v>
      </c>
      <c r="K3338" t="e">
        <f>VLOOKUP(B3338,'REGISTRO ABONOS'!$B$8:$BC$10012,54,0)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7"/>
        <v>105000</v>
      </c>
      <c r="K3339" t="e">
        <f>VLOOKUP(B3339,'REGISTRO ABONOS'!$B$8:$BC$10012,54,0)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7"/>
        <v>105000</v>
      </c>
      <c r="K3340" t="e">
        <f>VLOOKUP(B3340,'REGISTRO ABONOS'!$B$8:$BC$10012,54,0)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7"/>
        <v>105000</v>
      </c>
      <c r="K3341" t="e">
        <f>VLOOKUP(B3341,'REGISTRO ABONOS'!$B$8:$BC$10012,54,0)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7"/>
        <v>105000</v>
      </c>
      <c r="K3342" t="e">
        <f>VLOOKUP(B3342,'REGISTRO ABONOS'!$B$8:$BC$10012,54,0)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7"/>
        <v>105000</v>
      </c>
      <c r="K3343" t="e">
        <f>VLOOKUP(B3343,'REGISTRO ABONOS'!$B$8:$BC$10012,54,0)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7"/>
        <v>105000</v>
      </c>
      <c r="K3344" t="e">
        <f>VLOOKUP(B3344,'REGISTRO ABONOS'!$B$8:$BC$10012,54,0)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7"/>
        <v>105000</v>
      </c>
      <c r="K3345" t="e">
        <f>VLOOKUP(B3345,'REGISTRO ABONOS'!$B$8:$BC$10012,54,0)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7"/>
        <v>105000</v>
      </c>
      <c r="K3346" t="e">
        <f>VLOOKUP(B3346,'REGISTRO ABONOS'!$B$8:$BC$10012,54,0)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7"/>
        <v>105000</v>
      </c>
      <c r="K3347" t="e">
        <f>VLOOKUP(B3347,'REGISTRO ABONOS'!$B$8:$BC$10012,54,0)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7"/>
        <v>105000</v>
      </c>
      <c r="K3348" t="e">
        <f>VLOOKUP(B3348,'REGISTRO ABONOS'!$B$8:$BC$10012,54,0)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7"/>
        <v>105000</v>
      </c>
      <c r="K3349" t="e">
        <f>VLOOKUP(B3349,'REGISTRO ABONOS'!$B$8:$BC$10012,54,0)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7"/>
        <v>105000</v>
      </c>
      <c r="K3350" t="e">
        <f>VLOOKUP(B3350,'REGISTRO ABONOS'!$B$8:$BC$10012,54,0)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7"/>
        <v>105000</v>
      </c>
      <c r="K3351" t="e">
        <f>VLOOKUP(B3351,'REGISTRO ABONOS'!$B$8:$BC$10012,54,0)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7"/>
        <v>105000</v>
      </c>
      <c r="K3352" t="e">
        <f>VLOOKUP(B3352,'REGISTRO ABONOS'!$B$8:$BC$10012,54,0)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7"/>
        <v>105000</v>
      </c>
      <c r="K3353" t="e">
        <f>VLOOKUP(B3353,'REGISTRO ABONOS'!$B$8:$BC$10012,54,0)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J3354">
        <f t="shared" si="57"/>
        <v>105000</v>
      </c>
      <c r="K3354" t="e">
        <f>VLOOKUP(B3354,'REGISTRO ABONOS'!$B$8:$BC$10012,54,0)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7"/>
        <v>105000</v>
      </c>
      <c r="K3355" t="e">
        <f>VLOOKUP(B3355,'REGISTRO ABONOS'!$B$8:$BC$10012,54,0)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7"/>
        <v>105000</v>
      </c>
      <c r="K3356" t="e">
        <f>VLOOKUP(B3356,'REGISTRO ABONOS'!$B$8:$BC$10012,54,0)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7"/>
        <v>105000</v>
      </c>
      <c r="K3357" t="e">
        <f>VLOOKUP(B3357,'REGISTRO ABONOS'!$B$8:$BC$10012,54,0)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7"/>
        <v>105000</v>
      </c>
      <c r="K3358" t="e">
        <f>VLOOKUP(B3358,'REGISTRO ABONOS'!$B$8:$BC$10012,54,0)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7"/>
        <v>105000</v>
      </c>
      <c r="K3359" t="e">
        <f>VLOOKUP(B3359,'REGISTRO ABONOS'!$B$8:$BC$10012,54,0)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7"/>
        <v>105000</v>
      </c>
      <c r="K3360" t="e">
        <f>VLOOKUP(B3360,'REGISTRO ABONOS'!$B$8:$BC$10012,54,0)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7"/>
        <v>105000</v>
      </c>
      <c r="K3361" t="e">
        <f>VLOOKUP(B3361,'REGISTRO ABONOS'!$B$8:$BC$10012,54,0)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7"/>
        <v>105000</v>
      </c>
      <c r="K3362" t="e">
        <f>VLOOKUP(B3362,'REGISTRO ABONOS'!$B$8:$BC$10012,54,0)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7"/>
        <v>105000</v>
      </c>
      <c r="K3363" t="e">
        <f>VLOOKUP(B3363,'REGISTRO ABONOS'!$B$8:$BC$10012,54,0)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7"/>
        <v>105000</v>
      </c>
      <c r="K3364" t="e">
        <f>VLOOKUP(B3364,'REGISTRO ABONOS'!$B$8:$BC$10012,54,0)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7"/>
        <v>105000</v>
      </c>
      <c r="K3365" t="e">
        <f>VLOOKUP(B3365,'REGISTRO ABONOS'!$B$8:$BC$10012,54,0)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7"/>
        <v>105000</v>
      </c>
      <c r="K3366" t="e">
        <f>VLOOKUP(B3366,'REGISTRO ABONOS'!$B$8:$BC$10012,54,0)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7"/>
        <v>105000</v>
      </c>
      <c r="K3367" t="e">
        <f>VLOOKUP(B3367,'REGISTRO ABONOS'!$B$8:$BC$10012,54,0)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7"/>
        <v>105000</v>
      </c>
      <c r="K3368" t="e">
        <f>VLOOKUP(B3368,'REGISTRO ABONOS'!$B$8:$BC$10012,54,0)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7"/>
        <v>105000</v>
      </c>
      <c r="K3369" t="e">
        <f>VLOOKUP(B3369,'REGISTRO ABONOS'!$B$8:$BC$10012,54,0)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7"/>
        <v>105000</v>
      </c>
      <c r="K3370" t="e">
        <f>VLOOKUP(B3370,'REGISTRO ABONOS'!$B$8:$BC$10012,54,0)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7"/>
        <v>105000</v>
      </c>
      <c r="K3371" t="e">
        <f>VLOOKUP(B3371,'REGISTRO ABONOS'!$B$8:$BC$10012,54,0)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7"/>
        <v>105000</v>
      </c>
      <c r="K3372" t="e">
        <f>VLOOKUP(B3372,'REGISTRO ABONOS'!$B$8:$BC$10012,54,0)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7"/>
        <v>105000</v>
      </c>
      <c r="K3373" t="e">
        <f>VLOOKUP(B3373,'REGISTRO ABONOS'!$B$8:$BC$10012,54,0)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7"/>
        <v>105000</v>
      </c>
      <c r="K3374" t="e">
        <f>VLOOKUP(B3374,'REGISTRO ABONOS'!$B$8:$BC$10012,54,0)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7"/>
        <v>105000</v>
      </c>
      <c r="K3375" t="e">
        <f>VLOOKUP(B3375,'REGISTRO ABONOS'!$B$8:$BC$10012,54,0)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7"/>
        <v>105000</v>
      </c>
      <c r="K3376" t="e">
        <f>VLOOKUP(B3376,'REGISTRO ABONOS'!$B$8:$BC$10012,54,0)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7"/>
        <v>105000</v>
      </c>
      <c r="K3377" t="e">
        <f>VLOOKUP(B3377,'REGISTRO ABONOS'!$B$8:$BC$10012,54,0)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7"/>
        <v>105000</v>
      </c>
      <c r="K3378" t="e">
        <f>VLOOKUP(B3378,'REGISTRO ABONOS'!$B$8:$BC$10012,54,0)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7"/>
        <v>105000</v>
      </c>
      <c r="K3379" t="e">
        <f>VLOOKUP(B3379,'REGISTRO ABONOS'!$B$8:$BC$10012,54,0)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J3380">
        <f t="shared" si="57"/>
        <v>105000</v>
      </c>
      <c r="K3380" t="e">
        <f>VLOOKUP(B3380,'REGISTRO ABONOS'!$B$8:$BC$10012,54,0)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7"/>
        <v>105000</v>
      </c>
      <c r="K3381" t="e">
        <f>VLOOKUP(B3381,'REGISTRO ABONOS'!$B$8:$BC$10012,54,0)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ABONOS'!$B$8:$BC$10012,54,0)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8"/>
        <v>105000</v>
      </c>
      <c r="K3383" t="e">
        <f>VLOOKUP(B3383,'REGISTRO ABONOS'!$B$8:$BC$10012,54,0)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8"/>
        <v>105000</v>
      </c>
      <c r="K3384" t="e">
        <f>VLOOKUP(B3384,'REGISTRO ABONOS'!$B$8:$BC$10012,54,0)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8"/>
        <v>105000</v>
      </c>
      <c r="K3385" t="e">
        <f>VLOOKUP(B3385,'REGISTRO ABONOS'!$B$8:$BC$10012,54,0)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8"/>
        <v>105000</v>
      </c>
      <c r="K3386" t="e">
        <f>VLOOKUP(B3386,'REGISTRO ABONOS'!$B$8:$BC$10012,54,0)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8"/>
        <v>105000</v>
      </c>
      <c r="K3387" t="e">
        <f>VLOOKUP(B3387,'REGISTRO ABONOS'!$B$8:$BC$10012,54,0)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8"/>
        <v>105000</v>
      </c>
      <c r="K3388" t="e">
        <f>VLOOKUP(B3388,'REGISTRO ABONOS'!$B$8:$BC$10012,54,0)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8"/>
        <v>105000</v>
      </c>
      <c r="K3389" t="e">
        <f>VLOOKUP(B3389,'REGISTRO ABONOS'!$B$8:$BC$10012,54,0)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8"/>
        <v>105000</v>
      </c>
      <c r="K3390" t="e">
        <f>VLOOKUP(B3390,'REGISTRO ABONOS'!$B$8:$BC$10012,54,0)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8"/>
        <v>105000</v>
      </c>
      <c r="K3391" t="e">
        <f>VLOOKUP(B3391,'REGISTRO ABONOS'!$B$8:$BC$10012,54,0)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8"/>
        <v>105000</v>
      </c>
      <c r="K3392" t="e">
        <f>VLOOKUP(B3392,'REGISTRO ABONOS'!$B$8:$BC$10012,54,0)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8"/>
        <v>105000</v>
      </c>
      <c r="K3393" t="e">
        <f>VLOOKUP(B3393,'REGISTRO ABONOS'!$B$8:$BC$10012,54,0)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8"/>
        <v>105000</v>
      </c>
      <c r="K3394" t="e">
        <f>VLOOKUP(B3394,'REGISTRO ABONOS'!$B$8:$BC$10012,54,0)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8"/>
        <v>105000</v>
      </c>
      <c r="K3395" t="e">
        <f>VLOOKUP(B3395,'REGISTRO ABONOS'!$B$8:$BC$10012,54,0)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8"/>
        <v>105000</v>
      </c>
      <c r="K3396" t="e">
        <f>VLOOKUP(B3396,'REGISTRO ABONOS'!$B$8:$BC$10012,54,0)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8"/>
        <v>105000</v>
      </c>
      <c r="K3397" t="e">
        <f>VLOOKUP(B3397,'REGISTRO ABONOS'!$B$8:$BC$10012,54,0)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8"/>
        <v>105000</v>
      </c>
      <c r="K3398" t="e">
        <f>VLOOKUP(B3398,'REGISTRO ABONOS'!$B$8:$BC$10012,54,0)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8"/>
        <v>105000</v>
      </c>
      <c r="K3399" t="e">
        <f>VLOOKUP(B3399,'REGISTRO ABONOS'!$B$8:$BC$10012,54,0)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8"/>
        <v>105000</v>
      </c>
      <c r="K3400" t="e">
        <f>VLOOKUP(B3400,'REGISTRO ABONOS'!$B$8:$BC$10012,54,0)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8"/>
        <v>105000</v>
      </c>
      <c r="K3401" t="e">
        <f>VLOOKUP(B3401,'REGISTRO ABONOS'!$B$8:$BC$10012,54,0)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8"/>
        <v>105000</v>
      </c>
      <c r="K3402" t="e">
        <f>VLOOKUP(B3402,'REGISTRO ABONOS'!$B$8:$BC$10012,54,0)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8"/>
        <v>105000</v>
      </c>
      <c r="K3403" t="e">
        <f>VLOOKUP(B3403,'REGISTRO ABONOS'!$B$8:$BC$10012,54,0)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8"/>
        <v>105000</v>
      </c>
      <c r="K3404" t="e">
        <f>VLOOKUP(B3404,'REGISTRO ABONOS'!$B$8:$BC$10012,54,0)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8"/>
        <v>105000</v>
      </c>
      <c r="K3405" t="e">
        <f>VLOOKUP(B3405,'REGISTRO ABONOS'!$B$8:$BC$10012,54,0)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8"/>
        <v>105000</v>
      </c>
      <c r="K3406" t="e">
        <f>VLOOKUP(B3406,'REGISTRO ABONOS'!$B$8:$BC$10012,54,0)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8"/>
        <v>105000</v>
      </c>
      <c r="K3407" t="e">
        <f>VLOOKUP(B3407,'REGISTRO ABONOS'!$B$8:$BC$10012,54,0)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8"/>
        <v>105000</v>
      </c>
      <c r="K3408" t="e">
        <f>VLOOKUP(B3408,'REGISTRO ABONOS'!$B$8:$BC$10012,54,0)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8"/>
        <v>105000</v>
      </c>
      <c r="K3409" t="e">
        <f>VLOOKUP(B3409,'REGISTRO ABONOS'!$B$8:$BC$10012,54,0)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8"/>
        <v>105000</v>
      </c>
      <c r="K3410" t="e">
        <f>VLOOKUP(B3410,'REGISTRO ABONOS'!$B$8:$BC$10012,54,0)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8"/>
        <v>105000</v>
      </c>
      <c r="K3411" t="e">
        <f>VLOOKUP(B3411,'REGISTRO ABONOS'!$B$8:$BC$10012,54,0)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8"/>
        <v>105000</v>
      </c>
      <c r="K3412" t="e">
        <f>VLOOKUP(B3412,'REGISTRO ABONOS'!$B$8:$BC$10012,54,0)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8"/>
        <v>105000</v>
      </c>
      <c r="K3413" t="e">
        <f>VLOOKUP(B3413,'REGISTRO ABONOS'!$B$8:$BC$10012,54,0)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8"/>
        <v>105000</v>
      </c>
      <c r="K3414" t="e">
        <f>VLOOKUP(B3414,'REGISTRO ABONOS'!$B$8:$BC$10012,54,0)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8"/>
        <v>105000</v>
      </c>
      <c r="K3415" t="e">
        <f>VLOOKUP(B3415,'REGISTRO ABONOS'!$B$8:$BC$10012,54,0)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8"/>
        <v>105000</v>
      </c>
      <c r="K3416" t="e">
        <f>VLOOKUP(B3416,'REGISTRO ABONOS'!$B$8:$BC$10012,54,0)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8"/>
        <v>105000</v>
      </c>
      <c r="K3417" t="e">
        <f>VLOOKUP(B3417,'REGISTRO ABONOS'!$B$8:$BC$10012,54,0)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8"/>
        <v>105000</v>
      </c>
      <c r="K3418" t="e">
        <f>VLOOKUP(B3418,'REGISTRO ABONOS'!$B$8:$BC$10012,54,0)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8"/>
        <v>105000</v>
      </c>
      <c r="K3419" t="e">
        <f>VLOOKUP(B3419,'REGISTRO ABONOS'!$B$8:$BC$10012,54,0)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8"/>
        <v>105000</v>
      </c>
      <c r="K3420" t="e">
        <f>VLOOKUP(B3420,'REGISTRO ABONOS'!$B$8:$BC$10012,54,0)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8"/>
        <v>105000</v>
      </c>
      <c r="K3421" t="e">
        <f>VLOOKUP(B3421,'REGISTRO ABONOS'!$B$8:$BC$10012,54,0)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J3422">
        <f t="shared" si="58"/>
        <v>105000</v>
      </c>
      <c r="K3422" t="e">
        <f>VLOOKUP(B3422,'REGISTRO ABONOS'!$B$8:$BC$10012,54,0)</f>
        <v>#N/A</v>
      </c>
      <c r="L3422" t="e">
        <f>IF(Tabla26[[#This Row],[VALOR RESTANTE]]&lt;Tabla26[[#This Row],[VALOR]],"NO DISPONIBLE","DISPONIBLE")</f>
        <v>#N/A</v>
      </c>
      <c r="M3422" s="9">
        <f>COUNTIF(Tabla26[[#This Row],[VALOR RESTANTE]],0)</f>
        <v>0</v>
      </c>
    </row>
    <row r="3423" spans="2:13" x14ac:dyDescent="0.2">
      <c r="B3423" s="31">
        <v>3414</v>
      </c>
      <c r="J3423">
        <f t="shared" si="58"/>
        <v>105000</v>
      </c>
      <c r="K3423" t="e">
        <f>VLOOKUP(B3423,'REGISTRO ABONOS'!$B$8:$BC$10012,54,0)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8"/>
        <v>105000</v>
      </c>
      <c r="K3424" t="e">
        <f>VLOOKUP(B3424,'REGISTRO ABONOS'!$B$8:$BC$10012,54,0)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8"/>
        <v>105000</v>
      </c>
      <c r="K3425" t="e">
        <f>VLOOKUP(B3425,'REGISTRO ABONOS'!$B$8:$BC$10012,54,0)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8"/>
        <v>105000</v>
      </c>
      <c r="K3426" t="e">
        <f>VLOOKUP(B3426,'REGISTRO ABONOS'!$B$8:$BC$10012,54,0)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8"/>
        <v>105000</v>
      </c>
      <c r="K3427" t="e">
        <f>VLOOKUP(B3427,'REGISTRO ABONOS'!$B$8:$BC$10012,54,0)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8"/>
        <v>105000</v>
      </c>
      <c r="K3428" t="e">
        <f>VLOOKUP(B3428,'REGISTRO ABONOS'!$B$8:$BC$10012,54,0)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8"/>
        <v>105000</v>
      </c>
      <c r="K3429" t="e">
        <f>VLOOKUP(B3429,'REGISTRO ABONOS'!$B$8:$BC$10012,54,0)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8"/>
        <v>105000</v>
      </c>
      <c r="K3430" t="e">
        <f>VLOOKUP(B3430,'REGISTRO ABONOS'!$B$8:$BC$10012,54,0)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8"/>
        <v>105000</v>
      </c>
      <c r="K3431" t="e">
        <f>VLOOKUP(B3431,'REGISTRO ABONOS'!$B$8:$BC$10012,54,0)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J3432">
        <f t="shared" si="58"/>
        <v>105000</v>
      </c>
      <c r="K3432" t="e">
        <f>VLOOKUP(B3432,'REGISTRO ABONOS'!$B$8:$BC$10012,54,0)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8"/>
        <v>105000</v>
      </c>
      <c r="K3433" t="e">
        <f>VLOOKUP(B3433,'REGISTRO ABONOS'!$B$8:$BC$10012,54,0)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8"/>
        <v>105000</v>
      </c>
      <c r="K3434" t="e">
        <f>VLOOKUP(B3434,'REGISTRO ABONOS'!$B$8:$BC$10012,54,0)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8"/>
        <v>105000</v>
      </c>
      <c r="K3435" t="e">
        <f>VLOOKUP(B3435,'REGISTRO ABONOS'!$B$8:$BC$10012,54,0)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8"/>
        <v>105000</v>
      </c>
      <c r="K3436" t="e">
        <f>VLOOKUP(B3436,'REGISTRO ABONOS'!$B$8:$BC$10012,54,0)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8"/>
        <v>105000</v>
      </c>
      <c r="K3437" t="e">
        <f>VLOOKUP(B3437,'REGISTRO ABONOS'!$B$8:$BC$10012,54,0)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8"/>
        <v>105000</v>
      </c>
      <c r="K3438" t="e">
        <f>VLOOKUP(B3438,'REGISTRO ABONOS'!$B$8:$BC$10012,54,0)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8"/>
        <v>105000</v>
      </c>
      <c r="K3439" t="e">
        <f>VLOOKUP(B3439,'REGISTRO ABONOS'!$B$8:$BC$10012,54,0)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8"/>
        <v>105000</v>
      </c>
      <c r="K3440" t="e">
        <f>VLOOKUP(B3440,'REGISTRO ABONOS'!$B$8:$BC$10012,54,0)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8"/>
        <v>105000</v>
      </c>
      <c r="K3441" t="e">
        <f>VLOOKUP(B3441,'REGISTRO ABONOS'!$B$8:$BC$10012,54,0)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8"/>
        <v>105000</v>
      </c>
      <c r="K3442" t="e">
        <f>VLOOKUP(B3442,'REGISTRO ABONOS'!$B$8:$BC$10012,54,0)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8"/>
        <v>105000</v>
      </c>
      <c r="K3443" t="e">
        <f>VLOOKUP(B3443,'REGISTRO ABONOS'!$B$8:$BC$10012,54,0)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8"/>
        <v>105000</v>
      </c>
      <c r="K3444" t="e">
        <f>VLOOKUP(B3444,'REGISTRO ABONOS'!$B$8:$BC$10012,54,0)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8"/>
        <v>105000</v>
      </c>
      <c r="K3445" t="e">
        <f>VLOOKUP(B3445,'REGISTRO ABONOS'!$B$8:$BC$10012,54,0)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ABONOS'!$B$8:$BC$10012,54,0)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9"/>
        <v>105000</v>
      </c>
      <c r="K3447" t="e">
        <f>VLOOKUP(B3447,'REGISTRO ABONOS'!$B$8:$BC$10012,54,0)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9"/>
        <v>105000</v>
      </c>
      <c r="K3448" t="e">
        <f>VLOOKUP(B3448,'REGISTRO ABONOS'!$B$8:$BC$10012,54,0)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9"/>
        <v>105000</v>
      </c>
      <c r="K3449" t="e">
        <f>VLOOKUP(B3449,'REGISTRO ABONOS'!$B$8:$BC$10012,54,0)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9"/>
        <v>105000</v>
      </c>
      <c r="K3450" t="e">
        <f>VLOOKUP(B3450,'REGISTRO ABONOS'!$B$8:$BC$10012,54,0)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9"/>
        <v>105000</v>
      </c>
      <c r="K3451" t="e">
        <f>VLOOKUP(B3451,'REGISTRO ABONOS'!$B$8:$BC$10012,54,0)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9"/>
        <v>105000</v>
      </c>
      <c r="K3452" t="e">
        <f>VLOOKUP(B3452,'REGISTRO ABONOS'!$B$8:$BC$10012,54,0)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9"/>
        <v>105000</v>
      </c>
      <c r="K3453" t="e">
        <f>VLOOKUP(B3453,'REGISTRO ABONOS'!$B$8:$BC$10012,54,0)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9"/>
        <v>105000</v>
      </c>
      <c r="K3454" t="e">
        <f>VLOOKUP(B3454,'REGISTRO ABONOS'!$B$8:$BC$10012,54,0)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9"/>
        <v>105000</v>
      </c>
      <c r="K3455" t="e">
        <f>VLOOKUP(B3455,'REGISTRO ABONOS'!$B$8:$BC$10012,54,0)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9"/>
        <v>105000</v>
      </c>
      <c r="K3456" t="e">
        <f>VLOOKUP(B3456,'REGISTRO ABONOS'!$B$8:$BC$10012,54,0)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9"/>
        <v>105000</v>
      </c>
      <c r="K3457" t="e">
        <f>VLOOKUP(B3457,'REGISTRO ABONOS'!$B$8:$BC$10012,54,0)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9"/>
        <v>105000</v>
      </c>
      <c r="K3458" t="e">
        <f>VLOOKUP(B3458,'REGISTRO ABONOS'!$B$8:$BC$10012,54,0)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9"/>
        <v>105000</v>
      </c>
      <c r="K3459" t="e">
        <f>VLOOKUP(B3459,'REGISTRO ABONOS'!$B$8:$BC$10012,54,0)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9"/>
        <v>105000</v>
      </c>
      <c r="K3460" t="e">
        <f>VLOOKUP(B3460,'REGISTRO ABONOS'!$B$8:$BC$10012,54,0)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9"/>
        <v>105000</v>
      </c>
      <c r="K3461" t="e">
        <f>VLOOKUP(B3461,'REGISTRO ABONOS'!$B$8:$BC$10012,54,0)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9"/>
        <v>105000</v>
      </c>
      <c r="K3462" t="e">
        <f>VLOOKUP(B3462,'REGISTRO ABONOS'!$B$8:$BC$10012,54,0)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9"/>
        <v>105000</v>
      </c>
      <c r="K3463" t="e">
        <f>VLOOKUP(B3463,'REGISTRO ABONOS'!$B$8:$BC$10012,54,0)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9"/>
        <v>105000</v>
      </c>
      <c r="K3464" t="e">
        <f>VLOOKUP(B3464,'REGISTRO ABONOS'!$B$8:$BC$10012,54,0)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9"/>
        <v>105000</v>
      </c>
      <c r="K3465" t="e">
        <f>VLOOKUP(B3465,'REGISTRO ABONOS'!$B$8:$BC$10012,54,0)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9"/>
        <v>105000</v>
      </c>
      <c r="K3466" t="e">
        <f>VLOOKUP(B3466,'REGISTRO ABONOS'!$B$8:$BC$10012,54,0)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9"/>
        <v>105000</v>
      </c>
      <c r="K3467" t="e">
        <f>VLOOKUP(B3467,'REGISTRO ABONOS'!$B$8:$BC$10012,54,0)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9"/>
        <v>105000</v>
      </c>
      <c r="K3468" t="e">
        <f>VLOOKUP(B3468,'REGISTRO ABONOS'!$B$8:$BC$10012,54,0)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9"/>
        <v>105000</v>
      </c>
      <c r="K3469" t="e">
        <f>VLOOKUP(B3469,'REGISTRO ABONOS'!$B$8:$BC$10012,54,0)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9"/>
        <v>105000</v>
      </c>
      <c r="K3470" t="e">
        <f>VLOOKUP(B3470,'REGISTRO ABONOS'!$B$8:$BC$10012,54,0)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9"/>
        <v>105000</v>
      </c>
      <c r="K3471" t="e">
        <f>VLOOKUP(B3471,'REGISTRO ABONOS'!$B$8:$BC$10012,54,0)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9"/>
        <v>105000</v>
      </c>
      <c r="K3472" t="e">
        <f>VLOOKUP(B3472,'REGISTRO ABONOS'!$B$8:$BC$10012,54,0)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9"/>
        <v>105000</v>
      </c>
      <c r="K3473" t="e">
        <f>VLOOKUP(B3473,'REGISTRO ABONOS'!$B$8:$BC$10012,54,0)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9"/>
        <v>105000</v>
      </c>
      <c r="K3474" t="e">
        <f>VLOOKUP(B3474,'REGISTRO ABONOS'!$B$8:$BC$10012,54,0)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9"/>
        <v>105000</v>
      </c>
      <c r="K3475" t="e">
        <f>VLOOKUP(B3475,'REGISTRO ABONOS'!$B$8:$BC$10012,54,0)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9"/>
        <v>105000</v>
      </c>
      <c r="K3476" t="e">
        <f>VLOOKUP(B3476,'REGISTRO ABONOS'!$B$8:$BC$10012,54,0)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9"/>
        <v>105000</v>
      </c>
      <c r="K3477" t="e">
        <f>VLOOKUP(B3477,'REGISTRO ABONOS'!$B$8:$BC$10012,54,0)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9"/>
        <v>105000</v>
      </c>
      <c r="K3478" t="e">
        <f>VLOOKUP(B3478,'REGISTRO ABONOS'!$B$8:$BC$10012,54,0)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9"/>
        <v>105000</v>
      </c>
      <c r="K3479" t="e">
        <f>VLOOKUP(B3479,'REGISTRO ABONOS'!$B$8:$BC$10012,54,0)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9"/>
        <v>105000</v>
      </c>
      <c r="K3480" t="e">
        <f>VLOOKUP(B3480,'REGISTRO ABONOS'!$B$8:$BC$10012,54,0)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9"/>
        <v>105000</v>
      </c>
      <c r="K3481" t="e">
        <f>VLOOKUP(B3481,'REGISTRO ABONOS'!$B$8:$BC$10012,54,0)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9"/>
        <v>105000</v>
      </c>
      <c r="K3482" t="e">
        <f>VLOOKUP(B3482,'REGISTRO ABONOS'!$B$8:$BC$10012,54,0)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9"/>
        <v>105000</v>
      </c>
      <c r="K3483" t="e">
        <f>VLOOKUP(B3483,'REGISTRO ABONOS'!$B$8:$BC$10012,54,0)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9"/>
        <v>105000</v>
      </c>
      <c r="K3484" t="e">
        <f>VLOOKUP(B3484,'REGISTRO ABONOS'!$B$8:$BC$10012,54,0)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9"/>
        <v>105000</v>
      </c>
      <c r="K3485" t="e">
        <f>VLOOKUP(B3485,'REGISTRO ABONOS'!$B$8:$BC$10012,54,0)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9"/>
        <v>105000</v>
      </c>
      <c r="K3486" t="e">
        <f>VLOOKUP(B3486,'REGISTRO ABONOS'!$B$8:$BC$10012,54,0)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9"/>
        <v>105000</v>
      </c>
      <c r="K3487" t="e">
        <f>VLOOKUP(B3487,'REGISTRO ABONOS'!$B$8:$BC$10012,54,0)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9"/>
        <v>105000</v>
      </c>
      <c r="K3488" t="e">
        <f>VLOOKUP(B3488,'REGISTRO ABONOS'!$B$8:$BC$10012,54,0)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9"/>
        <v>105000</v>
      </c>
      <c r="K3489" t="e">
        <f>VLOOKUP(B3489,'REGISTRO ABONOS'!$B$8:$BC$10012,54,0)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9"/>
        <v>105000</v>
      </c>
      <c r="K3490" t="e">
        <f>VLOOKUP(B3490,'REGISTRO ABONOS'!$B$8:$BC$10012,54,0)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9"/>
        <v>105000</v>
      </c>
      <c r="K3491" t="e">
        <f>VLOOKUP(B3491,'REGISTRO ABONOS'!$B$8:$BC$10012,54,0)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9"/>
        <v>105000</v>
      </c>
      <c r="K3492" t="e">
        <f>VLOOKUP(B3492,'REGISTRO ABONOS'!$B$8:$BC$10012,54,0)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9"/>
        <v>105000</v>
      </c>
      <c r="K3493" t="e">
        <f>VLOOKUP(B3493,'REGISTRO ABONOS'!$B$8:$BC$10012,54,0)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9"/>
        <v>105000</v>
      </c>
      <c r="K3494" t="e">
        <f>VLOOKUP(B3494,'REGISTRO ABONOS'!$B$8:$BC$10012,54,0)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9"/>
        <v>105000</v>
      </c>
      <c r="K3495" t="e">
        <f>VLOOKUP(B3495,'REGISTRO ABONOS'!$B$8:$BC$10012,54,0)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9"/>
        <v>105000</v>
      </c>
      <c r="K3496" t="e">
        <f>VLOOKUP(B3496,'REGISTRO ABONOS'!$B$8:$BC$10012,54,0)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9"/>
        <v>105000</v>
      </c>
      <c r="K3497" t="e">
        <f>VLOOKUP(B3497,'REGISTRO ABONOS'!$B$8:$BC$10012,54,0)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9"/>
        <v>105000</v>
      </c>
      <c r="K3498" t="e">
        <f>VLOOKUP(B3498,'REGISTRO ABONOS'!$B$8:$BC$10012,54,0)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9"/>
        <v>105000</v>
      </c>
      <c r="K3499" t="e">
        <f>VLOOKUP(B3499,'REGISTRO ABONOS'!$B$8:$BC$10012,54,0)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9"/>
        <v>105000</v>
      </c>
      <c r="K3500" t="e">
        <f>VLOOKUP(B3500,'REGISTRO ABONOS'!$B$8:$BC$10012,54,0)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9"/>
        <v>105000</v>
      </c>
      <c r="K3501" t="e">
        <f>VLOOKUP(B3501,'REGISTRO ABONOS'!$B$8:$BC$10012,54,0)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9"/>
        <v>105000</v>
      </c>
      <c r="K3502" t="e">
        <f>VLOOKUP(B3502,'REGISTRO ABONOS'!$B$8:$BC$10012,54,0)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9"/>
        <v>105000</v>
      </c>
      <c r="K3503" t="e">
        <f>VLOOKUP(B3503,'REGISTRO ABONOS'!$B$8:$BC$10012,54,0)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9"/>
        <v>105000</v>
      </c>
      <c r="K3504" t="e">
        <f>VLOOKUP(B3504,'REGISTRO ABONOS'!$B$8:$BC$10012,54,0)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9"/>
        <v>105000</v>
      </c>
      <c r="K3505" t="e">
        <f>VLOOKUP(B3505,'REGISTRO ABONOS'!$B$8:$BC$10012,54,0)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9"/>
        <v>105000</v>
      </c>
      <c r="K3506" t="e">
        <f>VLOOKUP(B3506,'REGISTRO ABONOS'!$B$8:$BC$10012,54,0)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9"/>
        <v>105000</v>
      </c>
      <c r="K3507" t="e">
        <f>VLOOKUP(B3507,'REGISTRO ABONOS'!$B$8:$BC$10012,54,0)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9"/>
        <v>105000</v>
      </c>
      <c r="K3508" t="e">
        <f>VLOOKUP(B3508,'REGISTRO ABONOS'!$B$8:$BC$10012,54,0)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9"/>
        <v>105000</v>
      </c>
      <c r="K3509" t="e">
        <f>VLOOKUP(B3509,'REGISTRO ABONOS'!$B$8:$BC$10012,54,0)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ABONOS'!$B$8:$BC$10012,54,0)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60"/>
        <v>105000</v>
      </c>
      <c r="K3511" t="e">
        <f>VLOOKUP(B3511,'REGISTRO ABONOS'!$B$8:$BC$10012,54,0)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60"/>
        <v>105000</v>
      </c>
      <c r="K3512" t="e">
        <f>VLOOKUP(B3512,'REGISTRO ABONOS'!$B$8:$BC$10012,54,0)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60"/>
        <v>105000</v>
      </c>
      <c r="K3513" t="e">
        <f>VLOOKUP(B3513,'REGISTRO ABONOS'!$B$8:$BC$10012,54,0)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60"/>
        <v>105000</v>
      </c>
      <c r="K3514" t="e">
        <f>VLOOKUP(B3514,'REGISTRO ABONOS'!$B$8:$BC$10012,54,0)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60"/>
        <v>105000</v>
      </c>
      <c r="K3515" t="e">
        <f>VLOOKUP(B3515,'REGISTRO ABONOS'!$B$8:$BC$10012,54,0)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60"/>
        <v>105000</v>
      </c>
      <c r="K3516" t="e">
        <f>VLOOKUP(B3516,'REGISTRO ABONOS'!$B$8:$BC$10012,54,0)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60"/>
        <v>105000</v>
      </c>
      <c r="K3517" t="e">
        <f>VLOOKUP(B3517,'REGISTRO ABONOS'!$B$8:$BC$10012,54,0)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60"/>
        <v>105000</v>
      </c>
      <c r="K3518" t="e">
        <f>VLOOKUP(B3518,'REGISTRO ABONOS'!$B$8:$BC$10012,54,0)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60"/>
        <v>105000</v>
      </c>
      <c r="K3519" t="e">
        <f>VLOOKUP(B3519,'REGISTRO ABONOS'!$B$8:$BC$10012,54,0)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60"/>
        <v>105000</v>
      </c>
      <c r="K3520" t="e">
        <f>VLOOKUP(B3520,'REGISTRO ABONOS'!$B$8:$BC$10012,54,0)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60"/>
        <v>105000</v>
      </c>
      <c r="K3521" t="e">
        <f>VLOOKUP(B3521,'REGISTRO ABONOS'!$B$8:$BC$10012,54,0)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60"/>
        <v>105000</v>
      </c>
      <c r="K3522" t="e">
        <f>VLOOKUP(B3522,'REGISTRO ABONOS'!$B$8:$BC$10012,54,0)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60"/>
        <v>105000</v>
      </c>
      <c r="K3523" t="e">
        <f>VLOOKUP(B3523,'REGISTRO ABONOS'!$B$8:$BC$10012,54,0)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60"/>
        <v>105000</v>
      </c>
      <c r="K3524" t="e">
        <f>VLOOKUP(B3524,'REGISTRO ABONOS'!$B$8:$BC$10012,54,0)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60"/>
        <v>105000</v>
      </c>
      <c r="K3525" t="e">
        <f>VLOOKUP(B3525,'REGISTRO ABONOS'!$B$8:$BC$10012,54,0)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60"/>
        <v>105000</v>
      </c>
      <c r="K3526" t="e">
        <f>VLOOKUP(B3526,'REGISTRO ABONOS'!$B$8:$BC$10012,54,0)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60"/>
        <v>105000</v>
      </c>
      <c r="K3527" t="e">
        <f>VLOOKUP(B3527,'REGISTRO ABONOS'!$B$8:$BC$10012,54,0)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60"/>
        <v>105000</v>
      </c>
      <c r="K3528" t="e">
        <f>VLOOKUP(B3528,'REGISTRO ABONOS'!$B$8:$BC$10012,54,0)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60"/>
        <v>105000</v>
      </c>
      <c r="K3529" t="e">
        <f>VLOOKUP(B3529,'REGISTRO ABONOS'!$B$8:$BC$10012,54,0)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60"/>
        <v>105000</v>
      </c>
      <c r="K3530" t="e">
        <f>VLOOKUP(B3530,'REGISTRO ABONOS'!$B$8:$BC$10012,54,0)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60"/>
        <v>105000</v>
      </c>
      <c r="K3531" t="e">
        <f>VLOOKUP(B3531,'REGISTRO ABONOS'!$B$8:$BC$10012,54,0)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60"/>
        <v>105000</v>
      </c>
      <c r="K3532" t="e">
        <f>VLOOKUP(B3532,'REGISTRO ABONOS'!$B$8:$BC$10012,54,0)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60"/>
        <v>105000</v>
      </c>
      <c r="K3533" t="e">
        <f>VLOOKUP(B3533,'REGISTRO ABONOS'!$B$8:$BC$10012,54,0)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60"/>
        <v>105000</v>
      </c>
      <c r="K3534" t="e">
        <f>VLOOKUP(B3534,'REGISTRO ABONOS'!$B$8:$BC$10012,54,0)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60"/>
        <v>105000</v>
      </c>
      <c r="K3535" t="e">
        <f>VLOOKUP(B3535,'REGISTRO ABONOS'!$B$8:$BC$10012,54,0)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60"/>
        <v>105000</v>
      </c>
      <c r="K3536" t="e">
        <f>VLOOKUP(B3536,'REGISTRO ABONOS'!$B$8:$BC$10012,54,0)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60"/>
        <v>105000</v>
      </c>
      <c r="K3537" t="e">
        <f>VLOOKUP(B3537,'REGISTRO ABONOS'!$B$8:$BC$10012,54,0)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60"/>
        <v>105000</v>
      </c>
      <c r="K3538" t="e">
        <f>VLOOKUP(B3538,'REGISTRO ABONOS'!$B$8:$BC$10012,54,0)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60"/>
        <v>105000</v>
      </c>
      <c r="K3539" t="e">
        <f>VLOOKUP(B3539,'REGISTRO ABONOS'!$B$8:$BC$10012,54,0)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60"/>
        <v>105000</v>
      </c>
      <c r="K3540" t="e">
        <f>VLOOKUP(B3540,'REGISTRO ABONOS'!$B$8:$BC$10012,54,0)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60"/>
        <v>105000</v>
      </c>
      <c r="K3541" t="e">
        <f>VLOOKUP(B3541,'REGISTRO ABONOS'!$B$8:$BC$10012,54,0)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60"/>
        <v>105000</v>
      </c>
      <c r="K3542" t="e">
        <f>VLOOKUP(B3542,'REGISTRO ABONOS'!$B$8:$BC$10012,54,0)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60"/>
        <v>105000</v>
      </c>
      <c r="K3543" t="e">
        <f>VLOOKUP(B3543,'REGISTRO ABONOS'!$B$8:$BC$10012,54,0)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60"/>
        <v>105000</v>
      </c>
      <c r="K3544" t="e">
        <f>VLOOKUP(B3544,'REGISTRO ABONOS'!$B$8:$BC$10012,54,0)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60"/>
        <v>105000</v>
      </c>
      <c r="K3545" t="e">
        <f>VLOOKUP(B3545,'REGISTRO ABONOS'!$B$8:$BC$10012,54,0)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60"/>
        <v>105000</v>
      </c>
      <c r="K3546" t="e">
        <f>VLOOKUP(B3546,'REGISTRO ABONOS'!$B$8:$BC$10012,54,0)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60"/>
        <v>105000</v>
      </c>
      <c r="K3547" t="e">
        <f>VLOOKUP(B3547,'REGISTRO ABONOS'!$B$8:$BC$10012,54,0)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60"/>
        <v>105000</v>
      </c>
      <c r="K3548" t="e">
        <f>VLOOKUP(B3548,'REGISTRO ABONOS'!$B$8:$BC$10012,54,0)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60"/>
        <v>105000</v>
      </c>
      <c r="K3549" t="e">
        <f>VLOOKUP(B3549,'REGISTRO ABONOS'!$B$8:$BC$10012,54,0)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60"/>
        <v>105000</v>
      </c>
      <c r="K3550" t="e">
        <f>VLOOKUP(B3550,'REGISTRO ABONOS'!$B$8:$BC$10012,54,0)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60"/>
        <v>105000</v>
      </c>
      <c r="K3551" t="e">
        <f>VLOOKUP(B3551,'REGISTRO ABONOS'!$B$8:$BC$10012,54,0)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60"/>
        <v>105000</v>
      </c>
      <c r="K3552" t="e">
        <f>VLOOKUP(B3552,'REGISTRO ABONOS'!$B$8:$BC$10012,54,0)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60"/>
        <v>105000</v>
      </c>
      <c r="K3553" t="e">
        <f>VLOOKUP(B3553,'REGISTRO ABONOS'!$B$8:$BC$10012,54,0)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60"/>
        <v>105000</v>
      </c>
      <c r="K3554" t="e">
        <f>VLOOKUP(B3554,'REGISTRO ABONOS'!$B$8:$BC$10012,54,0)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60"/>
        <v>105000</v>
      </c>
      <c r="K3555" t="e">
        <f>VLOOKUP(B3555,'REGISTRO ABONOS'!$B$8:$BC$10012,54,0)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60"/>
        <v>105000</v>
      </c>
      <c r="K3556" t="e">
        <f>VLOOKUP(B3556,'REGISTRO ABONOS'!$B$8:$BC$10012,54,0)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60"/>
        <v>105000</v>
      </c>
      <c r="K3557" t="e">
        <f>VLOOKUP(B3557,'REGISTRO ABONOS'!$B$8:$BC$10012,54,0)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60"/>
        <v>105000</v>
      </c>
      <c r="K3558" t="e">
        <f>VLOOKUP(B3558,'REGISTRO ABONOS'!$B$8:$BC$10012,54,0)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60"/>
        <v>105000</v>
      </c>
      <c r="K3559" t="e">
        <f>VLOOKUP(B3559,'REGISTRO ABONOS'!$B$8:$BC$10012,54,0)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60"/>
        <v>105000</v>
      </c>
      <c r="K3560" t="e">
        <f>VLOOKUP(B3560,'REGISTRO ABONOS'!$B$8:$BC$10012,54,0)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60"/>
        <v>105000</v>
      </c>
      <c r="K3561" t="e">
        <f>VLOOKUP(B3561,'REGISTRO ABONOS'!$B$8:$BC$10012,54,0)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60"/>
        <v>105000</v>
      </c>
      <c r="K3562" t="e">
        <f>VLOOKUP(B3562,'REGISTRO ABONOS'!$B$8:$BC$10012,54,0)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60"/>
        <v>105000</v>
      </c>
      <c r="K3563" t="e">
        <f>VLOOKUP(B3563,'REGISTRO ABONOS'!$B$8:$BC$10012,54,0)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60"/>
        <v>105000</v>
      </c>
      <c r="K3564" t="e">
        <f>VLOOKUP(B3564,'REGISTRO ABONOS'!$B$8:$BC$10012,54,0)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60"/>
        <v>105000</v>
      </c>
      <c r="K3565" t="e">
        <f>VLOOKUP(B3565,'REGISTRO ABONOS'!$B$8:$BC$10012,54,0)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60"/>
        <v>105000</v>
      </c>
      <c r="K3566" t="e">
        <f>VLOOKUP(B3566,'REGISTRO ABONOS'!$B$8:$BC$10012,54,0)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60"/>
        <v>105000</v>
      </c>
      <c r="K3567" t="e">
        <f>VLOOKUP(B3567,'REGISTRO ABONOS'!$B$8:$BC$10012,54,0)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60"/>
        <v>105000</v>
      </c>
      <c r="K3568" t="e">
        <f>VLOOKUP(B3568,'REGISTRO ABONOS'!$B$8:$BC$10012,54,0)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60"/>
        <v>105000</v>
      </c>
      <c r="K3569" t="e">
        <f>VLOOKUP(B3569,'REGISTRO ABONOS'!$B$8:$BC$10012,54,0)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60"/>
        <v>105000</v>
      </c>
      <c r="K3570" t="e">
        <f>VLOOKUP(B3570,'REGISTRO ABONOS'!$B$8:$BC$10012,54,0)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60"/>
        <v>105000</v>
      </c>
      <c r="K3571" t="e">
        <f>VLOOKUP(B3571,'REGISTRO ABONOS'!$B$8:$BC$10012,54,0)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60"/>
        <v>105000</v>
      </c>
      <c r="K3572" t="e">
        <f>VLOOKUP(B3572,'REGISTRO ABONOS'!$B$8:$BC$10012,54,0)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60"/>
        <v>105000</v>
      </c>
      <c r="K3573" t="e">
        <f>VLOOKUP(B3573,'REGISTRO ABONOS'!$B$8:$BC$10012,54,0)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ABONOS'!$B$8:$BC$10012,54,0)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1"/>
        <v>105000</v>
      </c>
      <c r="K3575" t="e">
        <f>VLOOKUP(B3575,'REGISTRO ABONOS'!$B$8:$BC$10012,54,0)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1"/>
        <v>105000</v>
      </c>
      <c r="K3576" t="e">
        <f>VLOOKUP(B3576,'REGISTRO ABONOS'!$B$8:$BC$10012,54,0)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1"/>
        <v>105000</v>
      </c>
      <c r="K3577" t="e">
        <f>VLOOKUP(B3577,'REGISTRO ABONOS'!$B$8:$BC$10012,54,0)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1"/>
        <v>105000</v>
      </c>
      <c r="K3578" t="e">
        <f>VLOOKUP(B3578,'REGISTRO ABONOS'!$B$8:$BC$10012,54,0)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1"/>
        <v>105000</v>
      </c>
      <c r="K3579" t="e">
        <f>VLOOKUP(B3579,'REGISTRO ABONOS'!$B$8:$BC$10012,54,0)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1"/>
        <v>105000</v>
      </c>
      <c r="K3580" t="e">
        <f>VLOOKUP(B3580,'REGISTRO ABONOS'!$B$8:$BC$10012,54,0)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1"/>
        <v>105000</v>
      </c>
      <c r="K3581" t="e">
        <f>VLOOKUP(B3581,'REGISTRO ABONOS'!$B$8:$BC$10012,54,0)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1"/>
        <v>105000</v>
      </c>
      <c r="K3582" t="e">
        <f>VLOOKUP(B3582,'REGISTRO ABONOS'!$B$8:$BC$10012,54,0)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1"/>
        <v>105000</v>
      </c>
      <c r="K3583" t="e">
        <f>VLOOKUP(B3583,'REGISTRO ABONOS'!$B$8:$BC$10012,54,0)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1"/>
        <v>105000</v>
      </c>
      <c r="K3584" t="e">
        <f>VLOOKUP(B3584,'REGISTRO ABONOS'!$B$8:$BC$10012,54,0)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1"/>
        <v>105000</v>
      </c>
      <c r="K3585" t="e">
        <f>VLOOKUP(B3585,'REGISTRO ABONOS'!$B$8:$BC$10012,54,0)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1"/>
        <v>105000</v>
      </c>
      <c r="K3586" t="e">
        <f>VLOOKUP(B3586,'REGISTRO ABONOS'!$B$8:$BC$10012,54,0)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1"/>
        <v>105000</v>
      </c>
      <c r="K3587" t="e">
        <f>VLOOKUP(B3587,'REGISTRO ABONOS'!$B$8:$BC$10012,54,0)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1"/>
        <v>105000</v>
      </c>
      <c r="K3588" t="e">
        <f>VLOOKUP(B3588,'REGISTRO ABONOS'!$B$8:$BC$10012,54,0)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1"/>
        <v>105000</v>
      </c>
      <c r="K3589" t="e">
        <f>VLOOKUP(B3589,'REGISTRO ABONOS'!$B$8:$BC$10012,54,0)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1"/>
        <v>105000</v>
      </c>
      <c r="K3590" t="e">
        <f>VLOOKUP(B3590,'REGISTRO ABONOS'!$B$8:$BC$10012,54,0)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1"/>
        <v>105000</v>
      </c>
      <c r="K3591" t="e">
        <f>VLOOKUP(B3591,'REGISTRO ABONOS'!$B$8:$BC$10012,54,0)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1"/>
        <v>105000</v>
      </c>
      <c r="K3592" t="e">
        <f>VLOOKUP(B3592,'REGISTRO ABONOS'!$B$8:$BC$10012,54,0)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1"/>
        <v>105000</v>
      </c>
      <c r="K3593" t="e">
        <f>VLOOKUP(B3593,'REGISTRO ABONOS'!$B$8:$BC$10012,54,0)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1"/>
        <v>105000</v>
      </c>
      <c r="K3594" t="e">
        <f>VLOOKUP(B3594,'REGISTRO ABONOS'!$B$8:$BC$10012,54,0)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1"/>
        <v>105000</v>
      </c>
      <c r="K3595" t="e">
        <f>VLOOKUP(B3595,'REGISTRO ABONOS'!$B$8:$BC$10012,54,0)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1"/>
        <v>105000</v>
      </c>
      <c r="K3596" t="e">
        <f>VLOOKUP(B3596,'REGISTRO ABONOS'!$B$8:$BC$10012,54,0)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1"/>
        <v>105000</v>
      </c>
      <c r="K3597" t="e">
        <f>VLOOKUP(B3597,'REGISTRO ABONOS'!$B$8:$BC$10012,54,0)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1"/>
        <v>105000</v>
      </c>
      <c r="K3598" t="e">
        <f>VLOOKUP(B3598,'REGISTRO ABONOS'!$B$8:$BC$10012,54,0)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1"/>
        <v>105000</v>
      </c>
      <c r="K3599" t="e">
        <f>VLOOKUP(B3599,'REGISTRO ABONOS'!$B$8:$BC$10012,54,0)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1"/>
        <v>105000</v>
      </c>
      <c r="K3600" t="e">
        <f>VLOOKUP(B3600,'REGISTRO ABONOS'!$B$8:$BC$10012,54,0)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1"/>
        <v>105000</v>
      </c>
      <c r="K3601" t="e">
        <f>VLOOKUP(B3601,'REGISTRO ABONOS'!$B$8:$BC$10012,54,0)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1"/>
        <v>105000</v>
      </c>
      <c r="K3602" t="e">
        <f>VLOOKUP(B3602,'REGISTRO ABONOS'!$B$8:$BC$10012,54,0)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1"/>
        <v>105000</v>
      </c>
      <c r="K3603" t="e">
        <f>VLOOKUP(B3603,'REGISTRO ABONOS'!$B$8:$BC$10012,54,0)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1"/>
        <v>105000</v>
      </c>
      <c r="K3604" t="e">
        <f>VLOOKUP(B3604,'REGISTRO ABONOS'!$B$8:$BC$10012,54,0)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1"/>
        <v>105000</v>
      </c>
      <c r="K3605" t="e">
        <f>VLOOKUP(B3605,'REGISTRO ABONOS'!$B$8:$BC$10012,54,0)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1"/>
        <v>105000</v>
      </c>
      <c r="K3606" t="e">
        <f>VLOOKUP(B3606,'REGISTRO ABONOS'!$B$8:$BC$10012,54,0)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1"/>
        <v>105000</v>
      </c>
      <c r="K3607" t="e">
        <f>VLOOKUP(B3607,'REGISTRO ABONOS'!$B$8:$BC$10012,54,0)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1"/>
        <v>105000</v>
      </c>
      <c r="K3608" t="e">
        <f>VLOOKUP(B3608,'REGISTRO ABONOS'!$B$8:$BC$10012,54,0)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1"/>
        <v>105000</v>
      </c>
      <c r="K3609" t="e">
        <f>VLOOKUP(B3609,'REGISTRO ABONOS'!$B$8:$BC$10012,54,0)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1"/>
        <v>105000</v>
      </c>
      <c r="K3610" t="e">
        <f>VLOOKUP(B3610,'REGISTRO ABONOS'!$B$8:$BC$10012,54,0)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1"/>
        <v>105000</v>
      </c>
      <c r="K3611" t="e">
        <f>VLOOKUP(B3611,'REGISTRO ABONOS'!$B$8:$BC$10012,54,0)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1"/>
        <v>105000</v>
      </c>
      <c r="K3612" t="e">
        <f>VLOOKUP(B3612,'REGISTRO ABONOS'!$B$8:$BC$10012,54,0)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1"/>
        <v>105000</v>
      </c>
      <c r="K3613" t="e">
        <f>VLOOKUP(B3613,'REGISTRO ABONOS'!$B$8:$BC$10012,54,0)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1"/>
        <v>105000</v>
      </c>
      <c r="K3614" t="e">
        <f>VLOOKUP(B3614,'REGISTRO ABONOS'!$B$8:$BC$10012,54,0)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1"/>
        <v>105000</v>
      </c>
      <c r="K3615" t="e">
        <f>VLOOKUP(B3615,'REGISTRO ABONOS'!$B$8:$BC$10012,54,0)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1"/>
        <v>105000</v>
      </c>
      <c r="K3616" t="e">
        <f>VLOOKUP(B3616,'REGISTRO ABONOS'!$B$8:$BC$10012,54,0)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1"/>
        <v>105000</v>
      </c>
      <c r="K3617" t="e">
        <f>VLOOKUP(B3617,'REGISTRO ABONOS'!$B$8:$BC$10012,54,0)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1"/>
        <v>105000</v>
      </c>
      <c r="K3618" t="e">
        <f>VLOOKUP(B3618,'REGISTRO ABONOS'!$B$8:$BC$10012,54,0)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1"/>
        <v>105000</v>
      </c>
      <c r="K3619" t="e">
        <f>VLOOKUP(B3619,'REGISTRO ABONOS'!$B$8:$BC$10012,54,0)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1"/>
        <v>105000</v>
      </c>
      <c r="K3620" t="e">
        <f>VLOOKUP(B3620,'REGISTRO ABONOS'!$B$8:$BC$10012,54,0)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J3621">
        <f t="shared" si="61"/>
        <v>105000</v>
      </c>
      <c r="K3621" t="e">
        <f>VLOOKUP(B3621,'REGISTRO ABONOS'!$B$8:$BC$10012,54,0)</f>
        <v>#N/A</v>
      </c>
      <c r="L3621" t="e">
        <f>IF(Tabla26[[#This Row],[VALOR RESTANTE]]&lt;Tabla26[[#This Row],[VALOR]],"NO DISPONIBLE","DISPONIBLE")</f>
        <v>#N/A</v>
      </c>
      <c r="M3621" s="9">
        <f>COUNTIF(Tabla26[[#This Row],[VALOR RESTANTE]],0)</f>
        <v>0</v>
      </c>
    </row>
    <row r="3622" spans="2:13" x14ac:dyDescent="0.2">
      <c r="B3622" s="31">
        <v>3613</v>
      </c>
      <c r="J3622">
        <f t="shared" si="61"/>
        <v>105000</v>
      </c>
      <c r="K3622" t="e">
        <f>VLOOKUP(B3622,'REGISTRO ABONOS'!$B$8:$BC$10012,54,0)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1"/>
        <v>105000</v>
      </c>
      <c r="K3623" t="e">
        <f>VLOOKUP(B3623,'REGISTRO ABONOS'!$B$8:$BC$10012,54,0)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1"/>
        <v>105000</v>
      </c>
      <c r="K3624" t="e">
        <f>VLOOKUP(B3624,'REGISTRO ABONOS'!$B$8:$BC$10012,54,0)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1"/>
        <v>105000</v>
      </c>
      <c r="K3625" t="e">
        <f>VLOOKUP(B3625,'REGISTRO ABONOS'!$B$8:$BC$10012,54,0)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1"/>
        <v>105000</v>
      </c>
      <c r="K3626" t="e">
        <f>VLOOKUP(B3626,'REGISTRO ABONOS'!$B$8:$BC$10012,54,0)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1"/>
        <v>105000</v>
      </c>
      <c r="K3627" t="e">
        <f>VLOOKUP(B3627,'REGISTRO ABONOS'!$B$8:$BC$10012,54,0)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1"/>
        <v>105000</v>
      </c>
      <c r="K3628" t="e">
        <f>VLOOKUP(B3628,'REGISTRO ABONOS'!$B$8:$BC$10012,54,0)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1"/>
        <v>105000</v>
      </c>
      <c r="K3629" t="e">
        <f>VLOOKUP(B3629,'REGISTRO ABONOS'!$B$8:$BC$10012,54,0)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1"/>
        <v>105000</v>
      </c>
      <c r="K3630" t="e">
        <f>VLOOKUP(B3630,'REGISTRO ABONOS'!$B$8:$BC$10012,54,0)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1"/>
        <v>105000</v>
      </c>
      <c r="K3631" t="e">
        <f>VLOOKUP(B3631,'REGISTRO ABONOS'!$B$8:$BC$10012,54,0)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1"/>
        <v>105000</v>
      </c>
      <c r="K3632" t="e">
        <f>VLOOKUP(B3632,'REGISTRO ABONOS'!$B$8:$BC$10012,54,0)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1"/>
        <v>105000</v>
      </c>
      <c r="K3633" t="e">
        <f>VLOOKUP(B3633,'REGISTRO ABONOS'!$B$8:$BC$10012,54,0)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1"/>
        <v>105000</v>
      </c>
      <c r="K3634" t="e">
        <f>VLOOKUP(B3634,'REGISTRO ABONOS'!$B$8:$BC$10012,54,0)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1"/>
        <v>105000</v>
      </c>
      <c r="K3635" t="e">
        <f>VLOOKUP(B3635,'REGISTRO ABONOS'!$B$8:$BC$10012,54,0)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1"/>
        <v>105000</v>
      </c>
      <c r="K3636" t="e">
        <f>VLOOKUP(B3636,'REGISTRO ABONOS'!$B$8:$BC$10012,54,0)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1"/>
        <v>105000</v>
      </c>
      <c r="K3637" t="e">
        <f>VLOOKUP(B3637,'REGISTRO ABONOS'!$B$8:$BC$10012,54,0)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ABONOS'!$B$8:$BC$10012,54,0)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2"/>
        <v>105000</v>
      </c>
      <c r="K3639" t="e">
        <f>VLOOKUP(B3639,'REGISTRO ABONOS'!$B$8:$BC$10012,54,0)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2"/>
        <v>105000</v>
      </c>
      <c r="K3640" t="e">
        <f>VLOOKUP(B3640,'REGISTRO ABONOS'!$B$8:$BC$10012,54,0)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2"/>
        <v>105000</v>
      </c>
      <c r="K3641" t="e">
        <f>VLOOKUP(B3641,'REGISTRO ABONOS'!$B$8:$BC$10012,54,0)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2"/>
        <v>105000</v>
      </c>
      <c r="K3642" t="e">
        <f>VLOOKUP(B3642,'REGISTRO ABONOS'!$B$8:$BC$10012,54,0)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2"/>
        <v>105000</v>
      </c>
      <c r="K3643" t="e">
        <f>VLOOKUP(B3643,'REGISTRO ABONOS'!$B$8:$BC$10012,54,0)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2"/>
        <v>105000</v>
      </c>
      <c r="K3644" t="e">
        <f>VLOOKUP(B3644,'REGISTRO ABONOS'!$B$8:$BC$10012,54,0)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2"/>
        <v>105000</v>
      </c>
      <c r="K3645" t="e">
        <f>VLOOKUP(B3645,'REGISTRO ABONOS'!$B$8:$BC$10012,54,0)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2"/>
        <v>105000</v>
      </c>
      <c r="K3646" t="e">
        <f>VLOOKUP(B3646,'REGISTRO ABONOS'!$B$8:$BC$10012,54,0)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2"/>
        <v>105000</v>
      </c>
      <c r="K3647" t="e">
        <f>VLOOKUP(B3647,'REGISTRO ABONOS'!$B$8:$BC$10012,54,0)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2"/>
        <v>105000</v>
      </c>
      <c r="K3648" t="e">
        <f>VLOOKUP(B3648,'REGISTRO ABONOS'!$B$8:$BC$10012,54,0)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2"/>
        <v>105000</v>
      </c>
      <c r="K3649" t="e">
        <f>VLOOKUP(B3649,'REGISTRO ABONOS'!$B$8:$BC$10012,54,0)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2"/>
        <v>105000</v>
      </c>
      <c r="K3650" t="e">
        <f>VLOOKUP(B3650,'REGISTRO ABONOS'!$B$8:$BC$10012,54,0)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2"/>
        <v>105000</v>
      </c>
      <c r="K3651" t="e">
        <f>VLOOKUP(B3651,'REGISTRO ABONOS'!$B$8:$BC$10012,54,0)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2"/>
        <v>105000</v>
      </c>
      <c r="K3652" t="e">
        <f>VLOOKUP(B3652,'REGISTRO ABONOS'!$B$8:$BC$10012,54,0)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2"/>
        <v>105000</v>
      </c>
      <c r="K3653" t="e">
        <f>VLOOKUP(B3653,'REGISTRO ABONOS'!$B$8:$BC$10012,54,0)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2"/>
        <v>105000</v>
      </c>
      <c r="K3654" t="e">
        <f>VLOOKUP(B3654,'REGISTRO ABONOS'!$B$8:$BC$10012,54,0)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2"/>
        <v>105000</v>
      </c>
      <c r="K3655" t="e">
        <f>VLOOKUP(B3655,'REGISTRO ABONOS'!$B$8:$BC$10012,54,0)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2"/>
        <v>105000</v>
      </c>
      <c r="K3656" t="e">
        <f>VLOOKUP(B3656,'REGISTRO ABONOS'!$B$8:$BC$10012,54,0)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2"/>
        <v>105000</v>
      </c>
      <c r="K3657" t="e">
        <f>VLOOKUP(B3657,'REGISTRO ABONOS'!$B$8:$BC$10012,54,0)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2"/>
        <v>105000</v>
      </c>
      <c r="K3658" t="e">
        <f>VLOOKUP(B3658,'REGISTRO ABONOS'!$B$8:$BC$10012,54,0)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2"/>
        <v>105000</v>
      </c>
      <c r="K3659" t="e">
        <f>VLOOKUP(B3659,'REGISTRO ABONOS'!$B$8:$BC$10012,54,0)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2"/>
        <v>105000</v>
      </c>
      <c r="K3660" t="e">
        <f>VLOOKUP(B3660,'REGISTRO ABONOS'!$B$8:$BC$10012,54,0)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2"/>
        <v>105000</v>
      </c>
      <c r="K3661" t="e">
        <f>VLOOKUP(B3661,'REGISTRO ABONOS'!$B$8:$BC$10012,54,0)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2"/>
        <v>105000</v>
      </c>
      <c r="K3662" t="e">
        <f>VLOOKUP(B3662,'REGISTRO ABONOS'!$B$8:$BC$10012,54,0)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2"/>
        <v>105000</v>
      </c>
      <c r="K3663" t="e">
        <f>VLOOKUP(B3663,'REGISTRO ABONOS'!$B$8:$BC$10012,54,0)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2"/>
        <v>105000</v>
      </c>
      <c r="K3664" t="e">
        <f>VLOOKUP(B3664,'REGISTRO ABONOS'!$B$8:$BC$10012,54,0)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2"/>
        <v>105000</v>
      </c>
      <c r="K3665" t="e">
        <f>VLOOKUP(B3665,'REGISTRO ABONOS'!$B$8:$BC$10012,54,0)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2"/>
        <v>105000</v>
      </c>
      <c r="K3666" t="e">
        <f>VLOOKUP(B3666,'REGISTRO ABONOS'!$B$8:$BC$10012,54,0)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2"/>
        <v>105000</v>
      </c>
      <c r="K3667" t="e">
        <f>VLOOKUP(B3667,'REGISTRO ABONOS'!$B$8:$BC$10012,54,0)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2"/>
        <v>105000</v>
      </c>
      <c r="K3668" t="e">
        <f>VLOOKUP(B3668,'REGISTRO ABONOS'!$B$8:$BC$10012,54,0)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2"/>
        <v>105000</v>
      </c>
      <c r="K3669" t="e">
        <f>VLOOKUP(B3669,'REGISTRO ABONOS'!$B$8:$BC$10012,54,0)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2"/>
        <v>105000</v>
      </c>
      <c r="K3670" t="e">
        <f>VLOOKUP(B3670,'REGISTRO ABONOS'!$B$8:$BC$10012,54,0)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2"/>
        <v>105000</v>
      </c>
      <c r="K3671" t="e">
        <f>VLOOKUP(B3671,'REGISTRO ABONOS'!$B$8:$BC$10012,54,0)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2"/>
        <v>105000</v>
      </c>
      <c r="K3672" t="e">
        <f>VLOOKUP(B3672,'REGISTRO ABONOS'!$B$8:$BC$10012,54,0)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2"/>
        <v>105000</v>
      </c>
      <c r="K3673" t="e">
        <f>VLOOKUP(B3673,'REGISTRO ABONOS'!$B$8:$BC$10012,54,0)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2"/>
        <v>105000</v>
      </c>
      <c r="K3674" t="e">
        <f>VLOOKUP(B3674,'REGISTRO ABONOS'!$B$8:$BC$10012,54,0)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2"/>
        <v>105000</v>
      </c>
      <c r="K3675" t="e">
        <f>VLOOKUP(B3675,'REGISTRO ABONOS'!$B$8:$BC$10012,54,0)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2"/>
        <v>105000</v>
      </c>
      <c r="K3676" t="e">
        <f>VLOOKUP(B3676,'REGISTRO ABONOS'!$B$8:$BC$10012,54,0)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2"/>
        <v>105000</v>
      </c>
      <c r="K3677" t="e">
        <f>VLOOKUP(B3677,'REGISTRO ABONOS'!$B$8:$BC$10012,54,0)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2"/>
        <v>105000</v>
      </c>
      <c r="K3678" t="e">
        <f>VLOOKUP(B3678,'REGISTRO ABONOS'!$B$8:$BC$10012,54,0)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2"/>
        <v>105000</v>
      </c>
      <c r="K3679" t="e">
        <f>VLOOKUP(B3679,'REGISTRO ABONOS'!$B$8:$BC$10012,54,0)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2"/>
        <v>105000</v>
      </c>
      <c r="K3680" t="e">
        <f>VLOOKUP(B3680,'REGISTRO ABONOS'!$B$8:$BC$10012,54,0)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2"/>
        <v>105000</v>
      </c>
      <c r="K3681" t="e">
        <f>VLOOKUP(B3681,'REGISTRO ABONOS'!$B$8:$BC$10012,54,0)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2"/>
        <v>105000</v>
      </c>
      <c r="K3682" t="e">
        <f>VLOOKUP(B3682,'REGISTRO ABONOS'!$B$8:$BC$10012,54,0)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2"/>
        <v>105000</v>
      </c>
      <c r="K3683" t="e">
        <f>VLOOKUP(B3683,'REGISTRO ABONOS'!$B$8:$BC$10012,54,0)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2"/>
        <v>105000</v>
      </c>
      <c r="K3684" t="e">
        <f>VLOOKUP(B3684,'REGISTRO ABONOS'!$B$8:$BC$10012,54,0)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2"/>
        <v>105000</v>
      </c>
      <c r="K3685" t="e">
        <f>VLOOKUP(B3685,'REGISTRO ABONOS'!$B$8:$BC$10012,54,0)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2"/>
        <v>105000</v>
      </c>
      <c r="K3686" t="e">
        <f>VLOOKUP(B3686,'REGISTRO ABONOS'!$B$8:$BC$10012,54,0)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2"/>
        <v>105000</v>
      </c>
      <c r="K3687" t="e">
        <f>VLOOKUP(B3687,'REGISTRO ABONOS'!$B$8:$BC$10012,54,0)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2"/>
        <v>105000</v>
      </c>
      <c r="K3688" t="e">
        <f>VLOOKUP(B3688,'REGISTRO ABONOS'!$B$8:$BC$10012,54,0)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2"/>
        <v>105000</v>
      </c>
      <c r="K3689" t="e">
        <f>VLOOKUP(B3689,'REGISTRO ABONOS'!$B$8:$BC$10012,54,0)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2"/>
        <v>105000</v>
      </c>
      <c r="K3690" t="e">
        <f>VLOOKUP(B3690,'REGISTRO ABONOS'!$B$8:$BC$10012,54,0)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2"/>
        <v>105000</v>
      </c>
      <c r="K3691" t="e">
        <f>VLOOKUP(B3691,'REGISTRO ABONOS'!$B$8:$BC$10012,54,0)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2"/>
        <v>105000</v>
      </c>
      <c r="K3692" t="e">
        <f>VLOOKUP(B3692,'REGISTRO ABONOS'!$B$8:$BC$10012,54,0)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2"/>
        <v>105000</v>
      </c>
      <c r="K3693" t="e">
        <f>VLOOKUP(B3693,'REGISTRO ABONOS'!$B$8:$BC$10012,54,0)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2"/>
        <v>105000</v>
      </c>
      <c r="K3694" t="e">
        <f>VLOOKUP(B3694,'REGISTRO ABONOS'!$B$8:$BC$10012,54,0)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2"/>
        <v>105000</v>
      </c>
      <c r="K3695" t="e">
        <f>VLOOKUP(B3695,'REGISTRO ABONOS'!$B$8:$BC$10012,54,0)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2"/>
        <v>105000</v>
      </c>
      <c r="K3696" t="e">
        <f>VLOOKUP(B3696,'REGISTRO ABONOS'!$B$8:$BC$10012,54,0)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2"/>
        <v>105000</v>
      </c>
      <c r="K3697" t="e">
        <f>VLOOKUP(B3697,'REGISTRO ABONOS'!$B$8:$BC$10012,54,0)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2"/>
        <v>105000</v>
      </c>
      <c r="K3698" t="e">
        <f>VLOOKUP(B3698,'REGISTRO ABONOS'!$B$8:$BC$10012,54,0)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2"/>
        <v>105000</v>
      </c>
      <c r="K3699" t="e">
        <f>VLOOKUP(B3699,'REGISTRO ABONOS'!$B$8:$BC$10012,54,0)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2"/>
        <v>105000</v>
      </c>
      <c r="K3700" t="e">
        <f>VLOOKUP(B3700,'REGISTRO ABONOS'!$B$8:$BC$10012,54,0)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2"/>
        <v>105000</v>
      </c>
      <c r="K3701" t="e">
        <f>VLOOKUP(B3701,'REGISTRO ABONOS'!$B$8:$BC$10012,54,0)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ABONOS'!$B$8:$BC$10012,54,0)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3"/>
        <v>105000</v>
      </c>
      <c r="K3703" t="e">
        <f>VLOOKUP(B3703,'REGISTRO ABONOS'!$B$8:$BC$10012,54,0)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3"/>
        <v>105000</v>
      </c>
      <c r="K3704" t="e">
        <f>VLOOKUP(B3704,'REGISTRO ABONOS'!$B$8:$BC$10012,54,0)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3"/>
        <v>105000</v>
      </c>
      <c r="K3705" t="e">
        <f>VLOOKUP(B3705,'REGISTRO ABONOS'!$B$8:$BC$10012,54,0)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3"/>
        <v>105000</v>
      </c>
      <c r="K3706" t="e">
        <f>VLOOKUP(B3706,'REGISTRO ABONOS'!$B$8:$BC$10012,54,0)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3"/>
        <v>105000</v>
      </c>
      <c r="K3707" t="e">
        <f>VLOOKUP(B3707,'REGISTRO ABONOS'!$B$8:$BC$10012,54,0)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3"/>
        <v>105000</v>
      </c>
      <c r="K3708" t="e">
        <f>VLOOKUP(B3708,'REGISTRO ABONOS'!$B$8:$BC$10012,54,0)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3"/>
        <v>105000</v>
      </c>
      <c r="K3709" t="e">
        <f>VLOOKUP(B3709,'REGISTRO ABONOS'!$B$8:$BC$10012,54,0)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3"/>
        <v>105000</v>
      </c>
      <c r="K3710" t="e">
        <f>VLOOKUP(B3710,'REGISTRO ABONOS'!$B$8:$BC$10012,54,0)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3"/>
        <v>105000</v>
      </c>
      <c r="K3711" t="e">
        <f>VLOOKUP(B3711,'REGISTRO ABONOS'!$B$8:$BC$10012,54,0)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3"/>
        <v>105000</v>
      </c>
      <c r="K3712" t="e">
        <f>VLOOKUP(B3712,'REGISTRO ABONOS'!$B$8:$BC$10012,54,0)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3"/>
        <v>105000</v>
      </c>
      <c r="K3713" t="e">
        <f>VLOOKUP(B3713,'REGISTRO ABONOS'!$B$8:$BC$10012,54,0)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3"/>
        <v>105000</v>
      </c>
      <c r="K3714" t="e">
        <f>VLOOKUP(B3714,'REGISTRO ABONOS'!$B$8:$BC$10012,54,0)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3"/>
        <v>105000</v>
      </c>
      <c r="K3715" t="e">
        <f>VLOOKUP(B3715,'REGISTRO ABONOS'!$B$8:$BC$10012,54,0)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3"/>
        <v>105000</v>
      </c>
      <c r="K3716" t="e">
        <f>VLOOKUP(B3716,'REGISTRO ABONOS'!$B$8:$BC$10012,54,0)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3"/>
        <v>105000</v>
      </c>
      <c r="K3717" t="e">
        <f>VLOOKUP(B3717,'REGISTRO ABONOS'!$B$8:$BC$10012,54,0)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3"/>
        <v>105000</v>
      </c>
      <c r="K3718" t="e">
        <f>VLOOKUP(B3718,'REGISTRO ABONOS'!$B$8:$BC$10012,54,0)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3"/>
        <v>105000</v>
      </c>
      <c r="K3719" t="e">
        <f>VLOOKUP(B3719,'REGISTRO ABONOS'!$B$8:$BC$10012,54,0)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3"/>
        <v>105000</v>
      </c>
      <c r="K3720" t="e">
        <f>VLOOKUP(B3720,'REGISTRO ABONOS'!$B$8:$BC$10012,54,0)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3"/>
        <v>105000</v>
      </c>
      <c r="K3721" t="e">
        <f>VLOOKUP(B3721,'REGISTRO ABONOS'!$B$8:$BC$10012,54,0)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3"/>
        <v>105000</v>
      </c>
      <c r="K3722" t="e">
        <f>VLOOKUP(B3722,'REGISTRO ABONOS'!$B$8:$BC$10012,54,0)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3"/>
        <v>105000</v>
      </c>
      <c r="K3723" t="e">
        <f>VLOOKUP(B3723,'REGISTRO ABONOS'!$B$8:$BC$10012,54,0)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3"/>
        <v>105000</v>
      </c>
      <c r="K3724" t="e">
        <f>VLOOKUP(B3724,'REGISTRO ABONOS'!$B$8:$BC$10012,54,0)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3"/>
        <v>105000</v>
      </c>
      <c r="K3725" t="e">
        <f>VLOOKUP(B3725,'REGISTRO ABONOS'!$B$8:$BC$10012,54,0)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3"/>
        <v>105000</v>
      </c>
      <c r="K3726" t="e">
        <f>VLOOKUP(B3726,'REGISTRO ABONOS'!$B$8:$BC$10012,54,0)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3"/>
        <v>105000</v>
      </c>
      <c r="K3727" t="e">
        <f>VLOOKUP(B3727,'REGISTRO ABONOS'!$B$8:$BC$10012,54,0)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3"/>
        <v>105000</v>
      </c>
      <c r="K3728" t="e">
        <f>VLOOKUP(B3728,'REGISTRO ABONOS'!$B$8:$BC$10012,54,0)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3"/>
        <v>105000</v>
      </c>
      <c r="K3729" t="e">
        <f>VLOOKUP(B3729,'REGISTRO ABONOS'!$B$8:$BC$10012,54,0)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3"/>
        <v>105000</v>
      </c>
      <c r="K3730" t="e">
        <f>VLOOKUP(B3730,'REGISTRO ABONOS'!$B$8:$BC$10012,54,0)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3"/>
        <v>105000</v>
      </c>
      <c r="K3731" t="e">
        <f>VLOOKUP(B3731,'REGISTRO ABONOS'!$B$8:$BC$10012,54,0)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3"/>
        <v>105000</v>
      </c>
      <c r="K3732" t="e">
        <f>VLOOKUP(B3732,'REGISTRO ABONOS'!$B$8:$BC$10012,54,0)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3"/>
        <v>105000</v>
      </c>
      <c r="K3733" t="e">
        <f>VLOOKUP(B3733,'REGISTRO ABONOS'!$B$8:$BC$10012,54,0)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3"/>
        <v>105000</v>
      </c>
      <c r="K3734" t="e">
        <f>VLOOKUP(B3734,'REGISTRO ABONOS'!$B$8:$BC$10012,54,0)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3"/>
        <v>105000</v>
      </c>
      <c r="K3735" t="e">
        <f>VLOOKUP(B3735,'REGISTRO ABONOS'!$B$8:$BC$10012,54,0)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3"/>
        <v>105000</v>
      </c>
      <c r="K3736" t="e">
        <f>VLOOKUP(B3736,'REGISTRO ABONOS'!$B$8:$BC$10012,54,0)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3"/>
        <v>105000</v>
      </c>
      <c r="K3737" t="e">
        <f>VLOOKUP(B3737,'REGISTRO ABONOS'!$B$8:$BC$10012,54,0)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3"/>
        <v>105000</v>
      </c>
      <c r="K3738" t="e">
        <f>VLOOKUP(B3738,'REGISTRO ABONOS'!$B$8:$BC$10012,54,0)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3"/>
        <v>105000</v>
      </c>
      <c r="K3739" t="e">
        <f>VLOOKUP(B3739,'REGISTRO ABONOS'!$B$8:$BC$10012,54,0)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3"/>
        <v>105000</v>
      </c>
      <c r="K3740" t="e">
        <f>VLOOKUP(B3740,'REGISTRO ABONOS'!$B$8:$BC$10012,54,0)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3"/>
        <v>105000</v>
      </c>
      <c r="K3741" t="e">
        <f>VLOOKUP(B3741,'REGISTRO ABONOS'!$B$8:$BC$10012,54,0)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3"/>
        <v>105000</v>
      </c>
      <c r="K3742" t="e">
        <f>VLOOKUP(B3742,'REGISTRO ABONOS'!$B$8:$BC$10012,54,0)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3"/>
        <v>105000</v>
      </c>
      <c r="K3743" t="e">
        <f>VLOOKUP(B3743,'REGISTRO ABONOS'!$B$8:$BC$10012,54,0)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3"/>
        <v>105000</v>
      </c>
      <c r="K3744" t="e">
        <f>VLOOKUP(B3744,'REGISTRO ABONOS'!$B$8:$BC$10012,54,0)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3"/>
        <v>105000</v>
      </c>
      <c r="K3745" t="e">
        <f>VLOOKUP(B3745,'REGISTRO ABONOS'!$B$8:$BC$10012,54,0)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3"/>
        <v>105000</v>
      </c>
      <c r="K3746" t="e">
        <f>VLOOKUP(B3746,'REGISTRO ABONOS'!$B$8:$BC$10012,54,0)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3"/>
        <v>105000</v>
      </c>
      <c r="K3747" t="e">
        <f>VLOOKUP(B3747,'REGISTRO ABONOS'!$B$8:$BC$10012,54,0)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3"/>
        <v>105000</v>
      </c>
      <c r="K3748" t="e">
        <f>VLOOKUP(B3748,'REGISTRO ABONOS'!$B$8:$BC$10012,54,0)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3"/>
        <v>105000</v>
      </c>
      <c r="K3749" t="e">
        <f>VLOOKUP(B3749,'REGISTRO ABONOS'!$B$8:$BC$10012,54,0)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3"/>
        <v>105000</v>
      </c>
      <c r="K3750" t="e">
        <f>VLOOKUP(B3750,'REGISTRO ABONOS'!$B$8:$BC$10012,54,0)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3"/>
        <v>105000</v>
      </c>
      <c r="K3751" t="e">
        <f>VLOOKUP(B3751,'REGISTRO ABONOS'!$B$8:$BC$10012,54,0)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3"/>
        <v>105000</v>
      </c>
      <c r="K3752" t="e">
        <f>VLOOKUP(B3752,'REGISTRO ABONOS'!$B$8:$BC$10012,54,0)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3"/>
        <v>105000</v>
      </c>
      <c r="K3753" t="e">
        <f>VLOOKUP(B3753,'REGISTRO ABONOS'!$B$8:$BC$10012,54,0)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3"/>
        <v>105000</v>
      </c>
      <c r="K3754" t="e">
        <f>VLOOKUP(B3754,'REGISTRO ABONOS'!$B$8:$BC$10012,54,0)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3"/>
        <v>105000</v>
      </c>
      <c r="K3755" t="e">
        <f>VLOOKUP(B3755,'REGISTRO ABONOS'!$B$8:$BC$10012,54,0)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3"/>
        <v>105000</v>
      </c>
      <c r="K3756" t="e">
        <f>VLOOKUP(B3756,'REGISTRO ABONOS'!$B$8:$BC$10012,54,0)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3"/>
        <v>105000</v>
      </c>
      <c r="K3757" t="e">
        <f>VLOOKUP(B3757,'REGISTRO ABONOS'!$B$8:$BC$10012,54,0)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3"/>
        <v>105000</v>
      </c>
      <c r="K3758" t="e">
        <f>VLOOKUP(B3758,'REGISTRO ABONOS'!$B$8:$BC$10012,54,0)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3"/>
        <v>105000</v>
      </c>
      <c r="K3759" t="e">
        <f>VLOOKUP(B3759,'REGISTRO ABONOS'!$B$8:$BC$10012,54,0)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3"/>
        <v>105000</v>
      </c>
      <c r="K3760" t="e">
        <f>VLOOKUP(B3760,'REGISTRO ABONOS'!$B$8:$BC$10012,54,0)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3"/>
        <v>105000</v>
      </c>
      <c r="K3761" t="e">
        <f>VLOOKUP(B3761,'REGISTRO ABONOS'!$B$8:$BC$10012,54,0)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3"/>
        <v>105000</v>
      </c>
      <c r="K3762" t="e">
        <f>VLOOKUP(B3762,'REGISTRO ABONOS'!$B$8:$BC$10012,54,0)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3"/>
        <v>105000</v>
      </c>
      <c r="K3763" t="e">
        <f>VLOOKUP(B3763,'REGISTRO ABONOS'!$B$8:$BC$10012,54,0)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3"/>
        <v>105000</v>
      </c>
      <c r="K3764" t="e">
        <f>VLOOKUP(B3764,'REGISTRO ABONOS'!$B$8:$BC$10012,54,0)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3"/>
        <v>105000</v>
      </c>
      <c r="K3765" t="e">
        <f>VLOOKUP(B3765,'REGISTRO ABONOS'!$B$8:$BC$10012,54,0)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ABONOS'!$B$8:$BC$10012,54,0)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4"/>
        <v>105000</v>
      </c>
      <c r="K3767" t="e">
        <f>VLOOKUP(B3767,'REGISTRO ABONOS'!$B$8:$BC$10012,54,0)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4"/>
        <v>105000</v>
      </c>
      <c r="K3768" t="e">
        <f>VLOOKUP(B3768,'REGISTRO ABONOS'!$B$8:$BC$10012,54,0)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4"/>
        <v>105000</v>
      </c>
      <c r="K3769" t="e">
        <f>VLOOKUP(B3769,'REGISTRO ABONOS'!$B$8:$BC$10012,54,0)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4"/>
        <v>105000</v>
      </c>
      <c r="K3770" t="e">
        <f>VLOOKUP(B3770,'REGISTRO ABONOS'!$B$8:$BC$10012,54,0)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4"/>
        <v>105000</v>
      </c>
      <c r="K3771" t="e">
        <f>VLOOKUP(B3771,'REGISTRO ABONOS'!$B$8:$BC$10012,54,0)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4"/>
        <v>105000</v>
      </c>
      <c r="K3772" t="e">
        <f>VLOOKUP(B3772,'REGISTRO ABONOS'!$B$8:$BC$10012,54,0)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4"/>
        <v>105000</v>
      </c>
      <c r="K3773" t="e">
        <f>VLOOKUP(B3773,'REGISTRO ABONOS'!$B$8:$BC$10012,54,0)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4"/>
        <v>105000</v>
      </c>
      <c r="K3774" t="e">
        <f>VLOOKUP(B3774,'REGISTRO ABONOS'!$B$8:$BC$10012,54,0)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4"/>
        <v>105000</v>
      </c>
      <c r="K3775" t="e">
        <f>VLOOKUP(B3775,'REGISTRO ABONOS'!$B$8:$BC$10012,54,0)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4"/>
        <v>105000</v>
      </c>
      <c r="K3776" t="e">
        <f>VLOOKUP(B3776,'REGISTRO ABONOS'!$B$8:$BC$10012,54,0)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4"/>
        <v>105000</v>
      </c>
      <c r="K3777" t="e">
        <f>VLOOKUP(B3777,'REGISTRO ABONOS'!$B$8:$BC$10012,54,0)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4"/>
        <v>105000</v>
      </c>
      <c r="K3778" t="e">
        <f>VLOOKUP(B3778,'REGISTRO ABONOS'!$B$8:$BC$10012,54,0)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4"/>
        <v>105000</v>
      </c>
      <c r="K3779" t="e">
        <f>VLOOKUP(B3779,'REGISTRO ABONOS'!$B$8:$BC$10012,54,0)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4"/>
        <v>105000</v>
      </c>
      <c r="K3780" t="e">
        <f>VLOOKUP(B3780,'REGISTRO ABONOS'!$B$8:$BC$10012,54,0)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4"/>
        <v>105000</v>
      </c>
      <c r="K3781" t="e">
        <f>VLOOKUP(B3781,'REGISTRO ABONOS'!$B$8:$BC$10012,54,0)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4"/>
        <v>105000</v>
      </c>
      <c r="K3782" t="e">
        <f>VLOOKUP(B3782,'REGISTRO ABONOS'!$B$8:$BC$10012,54,0)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4"/>
        <v>105000</v>
      </c>
      <c r="K3783" t="e">
        <f>VLOOKUP(B3783,'REGISTRO ABONOS'!$B$8:$BC$10012,54,0)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4"/>
        <v>105000</v>
      </c>
      <c r="K3784" t="e">
        <f>VLOOKUP(B3784,'REGISTRO ABONOS'!$B$8:$BC$10012,54,0)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4"/>
        <v>105000</v>
      </c>
      <c r="K3785" t="e">
        <f>VLOOKUP(B3785,'REGISTRO ABONOS'!$B$8:$BC$10012,54,0)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4"/>
        <v>105000</v>
      </c>
      <c r="K3786" t="e">
        <f>VLOOKUP(B3786,'REGISTRO ABONOS'!$B$8:$BC$10012,54,0)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4"/>
        <v>105000</v>
      </c>
      <c r="K3787" t="e">
        <f>VLOOKUP(B3787,'REGISTRO ABONOS'!$B$8:$BC$10012,54,0)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4"/>
        <v>105000</v>
      </c>
      <c r="K3788" t="e">
        <f>VLOOKUP(B3788,'REGISTRO ABONOS'!$B$8:$BC$10012,54,0)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4"/>
        <v>105000</v>
      </c>
      <c r="K3789" t="e">
        <f>VLOOKUP(B3789,'REGISTRO ABONOS'!$B$8:$BC$10012,54,0)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4"/>
        <v>105000</v>
      </c>
      <c r="K3790" t="e">
        <f>VLOOKUP(B3790,'REGISTRO ABONOS'!$B$8:$BC$10012,54,0)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4"/>
        <v>105000</v>
      </c>
      <c r="K3791" t="e">
        <f>VLOOKUP(B3791,'REGISTRO ABONOS'!$B$8:$BC$10012,54,0)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4"/>
        <v>105000</v>
      </c>
      <c r="K3792" t="e">
        <f>VLOOKUP(B3792,'REGISTRO ABONOS'!$B$8:$BC$10012,54,0)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4"/>
        <v>105000</v>
      </c>
      <c r="K3793" t="e">
        <f>VLOOKUP(B3793,'REGISTRO ABONOS'!$B$8:$BC$10012,54,0)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4"/>
        <v>105000</v>
      </c>
      <c r="K3794" t="e">
        <f>VLOOKUP(B3794,'REGISTRO ABONOS'!$B$8:$BC$10012,54,0)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4"/>
        <v>105000</v>
      </c>
      <c r="K3795" t="e">
        <f>VLOOKUP(B3795,'REGISTRO ABONOS'!$B$8:$BC$10012,54,0)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4"/>
        <v>105000</v>
      </c>
      <c r="K3796" t="e">
        <f>VLOOKUP(B3796,'REGISTRO ABONOS'!$B$8:$BC$10012,54,0)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4"/>
        <v>105000</v>
      </c>
      <c r="K3797" t="e">
        <f>VLOOKUP(B3797,'REGISTRO ABONOS'!$B$8:$BC$10012,54,0)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4"/>
        <v>105000</v>
      </c>
      <c r="K3798" t="e">
        <f>VLOOKUP(B3798,'REGISTRO ABONOS'!$B$8:$BC$10012,54,0)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4"/>
        <v>105000</v>
      </c>
      <c r="K3799" t="e">
        <f>VLOOKUP(B3799,'REGISTRO ABONOS'!$B$8:$BC$10012,54,0)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4"/>
        <v>105000</v>
      </c>
      <c r="K3800" t="e">
        <f>VLOOKUP(B3800,'REGISTRO ABONOS'!$B$8:$BC$10012,54,0)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4"/>
        <v>105000</v>
      </c>
      <c r="K3801" t="e">
        <f>VLOOKUP(B3801,'REGISTRO ABONOS'!$B$8:$BC$10012,54,0)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4"/>
        <v>105000</v>
      </c>
      <c r="K3802" t="e">
        <f>VLOOKUP(B3802,'REGISTRO ABONOS'!$B$8:$BC$10012,54,0)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4"/>
        <v>105000</v>
      </c>
      <c r="K3803" t="e">
        <f>VLOOKUP(B3803,'REGISTRO ABONOS'!$B$8:$BC$10012,54,0)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4"/>
        <v>105000</v>
      </c>
      <c r="K3804" t="e">
        <f>VLOOKUP(B3804,'REGISTRO ABONOS'!$B$8:$BC$10012,54,0)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4"/>
        <v>105000</v>
      </c>
      <c r="K3805" t="e">
        <f>VLOOKUP(B3805,'REGISTRO ABONOS'!$B$8:$BC$10012,54,0)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4"/>
        <v>105000</v>
      </c>
      <c r="K3806" t="e">
        <f>VLOOKUP(B3806,'REGISTRO ABONOS'!$B$8:$BC$10012,54,0)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4"/>
        <v>105000</v>
      </c>
      <c r="K3807" t="e">
        <f>VLOOKUP(B3807,'REGISTRO ABONOS'!$B$8:$BC$10012,54,0)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4"/>
        <v>105000</v>
      </c>
      <c r="K3808" t="e">
        <f>VLOOKUP(B3808,'REGISTRO ABONOS'!$B$8:$BC$10012,54,0)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4"/>
        <v>105000</v>
      </c>
      <c r="K3809" t="e">
        <f>VLOOKUP(B3809,'REGISTRO ABONOS'!$B$8:$BC$10012,54,0)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4"/>
        <v>105000</v>
      </c>
      <c r="K3810" t="e">
        <f>VLOOKUP(B3810,'REGISTRO ABONOS'!$B$8:$BC$10012,54,0)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4"/>
        <v>105000</v>
      </c>
      <c r="K3811" t="e">
        <f>VLOOKUP(B3811,'REGISTRO ABONOS'!$B$8:$BC$10012,54,0)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4"/>
        <v>105000</v>
      </c>
      <c r="K3812" t="e">
        <f>VLOOKUP(B3812,'REGISTRO ABONOS'!$B$8:$BC$10012,54,0)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4"/>
        <v>105000</v>
      </c>
      <c r="K3813" t="e">
        <f>VLOOKUP(B3813,'REGISTRO ABONOS'!$B$8:$BC$10012,54,0)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4"/>
        <v>105000</v>
      </c>
      <c r="K3814" t="e">
        <f>VLOOKUP(B3814,'REGISTRO ABONOS'!$B$8:$BC$10012,54,0)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4"/>
        <v>105000</v>
      </c>
      <c r="K3815" t="e">
        <f>VLOOKUP(B3815,'REGISTRO ABONOS'!$B$8:$BC$10012,54,0)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4"/>
        <v>105000</v>
      </c>
      <c r="K3816" t="e">
        <f>VLOOKUP(B3816,'REGISTRO ABONOS'!$B$8:$BC$10012,54,0)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4"/>
        <v>105000</v>
      </c>
      <c r="K3817" t="e">
        <f>VLOOKUP(B3817,'REGISTRO ABONOS'!$B$8:$BC$10012,54,0)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4"/>
        <v>105000</v>
      </c>
      <c r="K3818" t="e">
        <f>VLOOKUP(B3818,'REGISTRO ABONOS'!$B$8:$BC$10012,54,0)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4"/>
        <v>105000</v>
      </c>
      <c r="K3819" t="e">
        <f>VLOOKUP(B3819,'REGISTRO ABONOS'!$B$8:$BC$10012,54,0)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4"/>
        <v>105000</v>
      </c>
      <c r="K3820" t="e">
        <f>VLOOKUP(B3820,'REGISTRO ABONOS'!$B$8:$BC$10012,54,0)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4"/>
        <v>105000</v>
      </c>
      <c r="K3821" t="e">
        <f>VLOOKUP(B3821,'REGISTRO ABONOS'!$B$8:$BC$10012,54,0)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4"/>
        <v>105000</v>
      </c>
      <c r="K3822" t="e">
        <f>VLOOKUP(B3822,'REGISTRO ABONOS'!$B$8:$BC$10012,54,0)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4"/>
        <v>105000</v>
      </c>
      <c r="K3823" t="e">
        <f>VLOOKUP(B3823,'REGISTRO ABONOS'!$B$8:$BC$10012,54,0)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4"/>
        <v>105000</v>
      </c>
      <c r="K3824" t="e">
        <f>VLOOKUP(B3824,'REGISTRO ABONOS'!$B$8:$BC$10012,54,0)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4"/>
        <v>105000</v>
      </c>
      <c r="K3825" t="e">
        <f>VLOOKUP(B3825,'REGISTRO ABONOS'!$B$8:$BC$10012,54,0)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4"/>
        <v>105000</v>
      </c>
      <c r="K3826" t="e">
        <f>VLOOKUP(B3826,'REGISTRO ABONOS'!$B$8:$BC$10012,54,0)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4"/>
        <v>105000</v>
      </c>
      <c r="K3827" t="e">
        <f>VLOOKUP(B3827,'REGISTRO ABONOS'!$B$8:$BC$10012,54,0)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4"/>
        <v>105000</v>
      </c>
      <c r="K3828" t="e">
        <f>VLOOKUP(B3828,'REGISTRO ABONOS'!$B$8:$BC$10012,54,0)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4"/>
        <v>105000</v>
      </c>
      <c r="K3829" t="e">
        <f>VLOOKUP(B3829,'REGISTRO ABONOS'!$B$8:$BC$10012,54,0)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ABONOS'!$B$8:$BC$10012,54,0)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5"/>
        <v>105000</v>
      </c>
      <c r="K3831" t="e">
        <f>VLOOKUP(B3831,'REGISTRO ABONOS'!$B$8:$BC$10012,54,0)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5"/>
        <v>105000</v>
      </c>
      <c r="K3832" t="e">
        <f>VLOOKUP(B3832,'REGISTRO ABONOS'!$B$8:$BC$10012,54,0)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5"/>
        <v>105000</v>
      </c>
      <c r="K3833" t="e">
        <f>VLOOKUP(B3833,'REGISTRO ABONOS'!$B$8:$BC$10012,54,0)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5"/>
        <v>105000</v>
      </c>
      <c r="K3834" t="e">
        <f>VLOOKUP(B3834,'REGISTRO ABONOS'!$B$8:$BC$10012,54,0)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5"/>
        <v>105000</v>
      </c>
      <c r="K3835" t="e">
        <f>VLOOKUP(B3835,'REGISTRO ABONOS'!$B$8:$BC$10012,54,0)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5"/>
        <v>105000</v>
      </c>
      <c r="K3836" t="e">
        <f>VLOOKUP(B3836,'REGISTRO ABONOS'!$B$8:$BC$10012,54,0)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5"/>
        <v>105000</v>
      </c>
      <c r="K3837" t="e">
        <f>VLOOKUP(B3837,'REGISTRO ABONOS'!$B$8:$BC$10012,54,0)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5"/>
        <v>105000</v>
      </c>
      <c r="K3838" t="e">
        <f>VLOOKUP(B3838,'REGISTRO ABONOS'!$B$8:$BC$10012,54,0)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5"/>
        <v>105000</v>
      </c>
      <c r="K3839" t="e">
        <f>VLOOKUP(B3839,'REGISTRO ABONOS'!$B$8:$BC$10012,54,0)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5"/>
        <v>105000</v>
      </c>
      <c r="K3840" t="e">
        <f>VLOOKUP(B3840,'REGISTRO ABONOS'!$B$8:$BC$10012,54,0)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5"/>
        <v>105000</v>
      </c>
      <c r="K3841" t="e">
        <f>VLOOKUP(B3841,'REGISTRO ABONOS'!$B$8:$BC$10012,54,0)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5"/>
        <v>105000</v>
      </c>
      <c r="K3842" t="e">
        <f>VLOOKUP(B3842,'REGISTRO ABONOS'!$B$8:$BC$10012,54,0)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5"/>
        <v>105000</v>
      </c>
      <c r="K3843" t="e">
        <f>VLOOKUP(B3843,'REGISTRO ABONOS'!$B$8:$BC$10012,54,0)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5"/>
        <v>105000</v>
      </c>
      <c r="K3844" t="e">
        <f>VLOOKUP(B3844,'REGISTRO ABONOS'!$B$8:$BC$10012,54,0)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5"/>
        <v>105000</v>
      </c>
      <c r="K3845" t="e">
        <f>VLOOKUP(B3845,'REGISTRO ABONOS'!$B$8:$BC$10012,54,0)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5"/>
        <v>105000</v>
      </c>
      <c r="K3846" t="e">
        <f>VLOOKUP(B3846,'REGISTRO ABONOS'!$B$8:$BC$10012,54,0)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5"/>
        <v>105000</v>
      </c>
      <c r="K3847" t="e">
        <f>VLOOKUP(B3847,'REGISTRO ABONOS'!$B$8:$BC$10012,54,0)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5"/>
        <v>105000</v>
      </c>
      <c r="K3848" t="e">
        <f>VLOOKUP(B3848,'REGISTRO ABONOS'!$B$8:$BC$10012,54,0)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5"/>
        <v>105000</v>
      </c>
      <c r="K3849" t="e">
        <f>VLOOKUP(B3849,'REGISTRO ABONOS'!$B$8:$BC$10012,54,0)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5"/>
        <v>105000</v>
      </c>
      <c r="K3850" t="e">
        <f>VLOOKUP(B3850,'REGISTRO ABONOS'!$B$8:$BC$10012,54,0)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5"/>
        <v>105000</v>
      </c>
      <c r="K3851" t="e">
        <f>VLOOKUP(B3851,'REGISTRO ABONOS'!$B$8:$BC$10012,54,0)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5"/>
        <v>105000</v>
      </c>
      <c r="K3852" t="e">
        <f>VLOOKUP(B3852,'REGISTRO ABONOS'!$B$8:$BC$10012,54,0)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5"/>
        <v>105000</v>
      </c>
      <c r="K3853" t="e">
        <f>VLOOKUP(B3853,'REGISTRO ABONOS'!$B$8:$BC$10012,54,0)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5"/>
        <v>105000</v>
      </c>
      <c r="K3854" t="e">
        <f>VLOOKUP(B3854,'REGISTRO ABONOS'!$B$8:$BC$10012,54,0)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5"/>
        <v>105000</v>
      </c>
      <c r="K3855" t="e">
        <f>VLOOKUP(B3855,'REGISTRO ABONOS'!$B$8:$BC$10012,54,0)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5"/>
        <v>105000</v>
      </c>
      <c r="K3856" t="e">
        <f>VLOOKUP(B3856,'REGISTRO ABONOS'!$B$8:$BC$10012,54,0)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5"/>
        <v>105000</v>
      </c>
      <c r="K3857" t="e">
        <f>VLOOKUP(B3857,'REGISTRO ABONOS'!$B$8:$BC$10012,54,0)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5"/>
        <v>105000</v>
      </c>
      <c r="K3858" t="e">
        <f>VLOOKUP(B3858,'REGISTRO ABONOS'!$B$8:$BC$10012,54,0)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5"/>
        <v>105000</v>
      </c>
      <c r="K3859" t="e">
        <f>VLOOKUP(B3859,'REGISTRO ABONOS'!$B$8:$BC$10012,54,0)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5"/>
        <v>105000</v>
      </c>
      <c r="K3860" t="e">
        <f>VLOOKUP(B3860,'REGISTRO ABONOS'!$B$8:$BC$10012,54,0)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5"/>
        <v>105000</v>
      </c>
      <c r="K3861" t="e">
        <f>VLOOKUP(B3861,'REGISTRO ABONOS'!$B$8:$BC$10012,54,0)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5"/>
        <v>105000</v>
      </c>
      <c r="K3862" t="e">
        <f>VLOOKUP(B3862,'REGISTRO ABONOS'!$B$8:$BC$10012,54,0)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5"/>
        <v>105000</v>
      </c>
      <c r="K3863" t="e">
        <f>VLOOKUP(B3863,'REGISTRO ABONOS'!$B$8:$BC$10012,54,0)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5"/>
        <v>105000</v>
      </c>
      <c r="K3864" t="e">
        <f>VLOOKUP(B3864,'REGISTRO ABONOS'!$B$8:$BC$10012,54,0)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5"/>
        <v>105000</v>
      </c>
      <c r="K3865" t="e">
        <f>VLOOKUP(B3865,'REGISTRO ABONOS'!$B$8:$BC$10012,54,0)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5"/>
        <v>105000</v>
      </c>
      <c r="K3866" t="e">
        <f>VLOOKUP(B3866,'REGISTRO ABONOS'!$B$8:$BC$10012,54,0)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5"/>
        <v>105000</v>
      </c>
      <c r="K3867" t="e">
        <f>VLOOKUP(B3867,'REGISTRO ABONOS'!$B$8:$BC$10012,54,0)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5"/>
        <v>105000</v>
      </c>
      <c r="K3868" t="e">
        <f>VLOOKUP(B3868,'REGISTRO ABONOS'!$B$8:$BC$10012,54,0)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5"/>
        <v>105000</v>
      </c>
      <c r="K3869" t="e">
        <f>VLOOKUP(B3869,'REGISTRO ABONOS'!$B$8:$BC$10012,54,0)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5"/>
        <v>105000</v>
      </c>
      <c r="K3870" t="e">
        <f>VLOOKUP(B3870,'REGISTRO ABONOS'!$B$8:$BC$10012,54,0)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5"/>
        <v>105000</v>
      </c>
      <c r="K3871" t="e">
        <f>VLOOKUP(B3871,'REGISTRO ABONOS'!$B$8:$BC$10012,54,0)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5"/>
        <v>105000</v>
      </c>
      <c r="K3872" t="e">
        <f>VLOOKUP(B3872,'REGISTRO ABONOS'!$B$8:$BC$10012,54,0)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5"/>
        <v>105000</v>
      </c>
      <c r="K3873" t="e">
        <f>VLOOKUP(B3873,'REGISTRO ABONOS'!$B$8:$BC$10012,54,0)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5"/>
        <v>105000</v>
      </c>
      <c r="K3874" t="e">
        <f>VLOOKUP(B3874,'REGISTRO ABONOS'!$B$8:$BC$10012,54,0)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5"/>
        <v>105000</v>
      </c>
      <c r="K3875" t="e">
        <f>VLOOKUP(B3875,'REGISTRO ABONOS'!$B$8:$BC$10012,54,0)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5"/>
        <v>105000</v>
      </c>
      <c r="K3876" t="e">
        <f>VLOOKUP(B3876,'REGISTRO ABONOS'!$B$8:$BC$10012,54,0)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5"/>
        <v>105000</v>
      </c>
      <c r="K3877" t="e">
        <f>VLOOKUP(B3877,'REGISTRO ABONOS'!$B$8:$BC$10012,54,0)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5"/>
        <v>105000</v>
      </c>
      <c r="K3878" t="e">
        <f>VLOOKUP(B3878,'REGISTRO ABONOS'!$B$8:$BC$10012,54,0)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5"/>
        <v>105000</v>
      </c>
      <c r="K3879" t="e">
        <f>VLOOKUP(B3879,'REGISTRO ABONOS'!$B$8:$BC$10012,54,0)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5"/>
        <v>105000</v>
      </c>
      <c r="K3880" t="e">
        <f>VLOOKUP(B3880,'REGISTRO ABONOS'!$B$8:$BC$10012,54,0)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5"/>
        <v>105000</v>
      </c>
      <c r="K3881" t="e">
        <f>VLOOKUP(B3881,'REGISTRO ABONOS'!$B$8:$BC$10012,54,0)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5"/>
        <v>105000</v>
      </c>
      <c r="K3882" t="e">
        <f>VLOOKUP(B3882,'REGISTRO ABONOS'!$B$8:$BC$10012,54,0)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5"/>
        <v>105000</v>
      </c>
      <c r="K3883" t="e">
        <f>VLOOKUP(B3883,'REGISTRO ABONOS'!$B$8:$BC$10012,54,0)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5"/>
        <v>105000</v>
      </c>
      <c r="K3884" t="e">
        <f>VLOOKUP(B3884,'REGISTRO ABONOS'!$B$8:$BC$10012,54,0)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5"/>
        <v>105000</v>
      </c>
      <c r="K3885" t="e">
        <f>VLOOKUP(B3885,'REGISTRO ABONOS'!$B$8:$BC$10012,54,0)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5"/>
        <v>105000</v>
      </c>
      <c r="K3886" t="e">
        <f>VLOOKUP(B3886,'REGISTRO ABONOS'!$B$8:$BC$10012,54,0)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5"/>
        <v>105000</v>
      </c>
      <c r="K3887" t="e">
        <f>VLOOKUP(B3887,'REGISTRO ABONOS'!$B$8:$BC$10012,54,0)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5"/>
        <v>105000</v>
      </c>
      <c r="K3888" t="e">
        <f>VLOOKUP(B3888,'REGISTRO ABONOS'!$B$8:$BC$10012,54,0)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5"/>
        <v>105000</v>
      </c>
      <c r="K3889" t="e">
        <f>VLOOKUP(B3889,'REGISTRO ABONOS'!$B$8:$BC$10012,54,0)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5"/>
        <v>105000</v>
      </c>
      <c r="K3890" t="e">
        <f>VLOOKUP(B3890,'REGISTRO ABONOS'!$B$8:$BC$10012,54,0)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5"/>
        <v>105000</v>
      </c>
      <c r="K3891" t="e">
        <f>VLOOKUP(B3891,'REGISTRO ABONOS'!$B$8:$BC$10012,54,0)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5"/>
        <v>105000</v>
      </c>
      <c r="K3892" t="e">
        <f>VLOOKUP(B3892,'REGISTRO ABONOS'!$B$8:$BC$10012,54,0)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5"/>
        <v>105000</v>
      </c>
      <c r="K3893" t="e">
        <f>VLOOKUP(B3893,'REGISTRO ABONOS'!$B$8:$BC$10012,54,0)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ABONOS'!$B$8:$BC$10012,54,0)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6"/>
        <v>105000</v>
      </c>
      <c r="K3895" t="e">
        <f>VLOOKUP(B3895,'REGISTRO ABONOS'!$B$8:$BC$10012,54,0)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6"/>
        <v>105000</v>
      </c>
      <c r="K3896" t="e">
        <f>VLOOKUP(B3896,'REGISTRO ABONOS'!$B$8:$BC$10012,54,0)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6"/>
        <v>105000</v>
      </c>
      <c r="K3897" t="e">
        <f>VLOOKUP(B3897,'REGISTRO ABONOS'!$B$8:$BC$10012,54,0)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6"/>
        <v>105000</v>
      </c>
      <c r="K3898" t="e">
        <f>VLOOKUP(B3898,'REGISTRO ABONOS'!$B$8:$BC$10012,54,0)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6"/>
        <v>105000</v>
      </c>
      <c r="K3899" t="e">
        <f>VLOOKUP(B3899,'REGISTRO ABONOS'!$B$8:$BC$10012,54,0)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6"/>
        <v>105000</v>
      </c>
      <c r="K3900" t="e">
        <f>VLOOKUP(B3900,'REGISTRO ABONOS'!$B$8:$BC$10012,54,0)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6"/>
        <v>105000</v>
      </c>
      <c r="K3901" t="e">
        <f>VLOOKUP(B3901,'REGISTRO ABONOS'!$B$8:$BC$10012,54,0)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6"/>
        <v>105000</v>
      </c>
      <c r="K3902" t="e">
        <f>VLOOKUP(B3902,'REGISTRO ABONOS'!$B$8:$BC$10012,54,0)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6"/>
        <v>105000</v>
      </c>
      <c r="K3903" t="e">
        <f>VLOOKUP(B3903,'REGISTRO ABONOS'!$B$8:$BC$10012,54,0)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6"/>
        <v>105000</v>
      </c>
      <c r="K3904" t="e">
        <f>VLOOKUP(B3904,'REGISTRO ABONOS'!$B$8:$BC$10012,54,0)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6"/>
        <v>105000</v>
      </c>
      <c r="K3905" t="e">
        <f>VLOOKUP(B3905,'REGISTRO ABONOS'!$B$8:$BC$10012,54,0)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6"/>
        <v>105000</v>
      </c>
      <c r="K3906" t="e">
        <f>VLOOKUP(B3906,'REGISTRO ABONOS'!$B$8:$BC$10012,54,0)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6"/>
        <v>105000</v>
      </c>
      <c r="K3907" t="e">
        <f>VLOOKUP(B3907,'REGISTRO ABONOS'!$B$8:$BC$10012,54,0)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6"/>
        <v>105000</v>
      </c>
      <c r="K3908" t="e">
        <f>VLOOKUP(B3908,'REGISTRO ABONOS'!$B$8:$BC$10012,54,0)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6"/>
        <v>105000</v>
      </c>
      <c r="K3909" t="e">
        <f>VLOOKUP(B3909,'REGISTRO ABONOS'!$B$8:$BC$10012,54,0)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6"/>
        <v>105000</v>
      </c>
      <c r="K3910" t="e">
        <f>VLOOKUP(B3910,'REGISTRO ABONOS'!$B$8:$BC$10012,54,0)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6"/>
        <v>105000</v>
      </c>
      <c r="K3911" t="e">
        <f>VLOOKUP(B3911,'REGISTRO ABONOS'!$B$8:$BC$10012,54,0)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6"/>
        <v>105000</v>
      </c>
      <c r="K3912" t="e">
        <f>VLOOKUP(B3912,'REGISTRO ABONOS'!$B$8:$BC$10012,54,0)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6"/>
        <v>105000</v>
      </c>
      <c r="K3913" t="e">
        <f>VLOOKUP(B3913,'REGISTRO ABONOS'!$B$8:$BC$10012,54,0)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6"/>
        <v>105000</v>
      </c>
      <c r="K3914" t="e">
        <f>VLOOKUP(B3914,'REGISTRO ABONOS'!$B$8:$BC$10012,54,0)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6"/>
        <v>105000</v>
      </c>
      <c r="K3915" t="e">
        <f>VLOOKUP(B3915,'REGISTRO ABONOS'!$B$8:$BC$10012,54,0)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6"/>
        <v>105000</v>
      </c>
      <c r="K3916" t="e">
        <f>VLOOKUP(B3916,'REGISTRO ABONOS'!$B$8:$BC$10012,54,0)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6"/>
        <v>105000</v>
      </c>
      <c r="K3917" t="e">
        <f>VLOOKUP(B3917,'REGISTRO ABONOS'!$B$8:$BC$10012,54,0)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6"/>
        <v>105000</v>
      </c>
      <c r="K3918" t="e">
        <f>VLOOKUP(B3918,'REGISTRO ABONOS'!$B$8:$BC$10012,54,0)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6"/>
        <v>105000</v>
      </c>
      <c r="K3919" t="e">
        <f>VLOOKUP(B3919,'REGISTRO ABONOS'!$B$8:$BC$10012,54,0)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6"/>
        <v>105000</v>
      </c>
      <c r="K3920" t="e">
        <f>VLOOKUP(B3920,'REGISTRO ABONOS'!$B$8:$BC$10012,54,0)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6"/>
        <v>105000</v>
      </c>
      <c r="K3921" t="e">
        <f>VLOOKUP(B3921,'REGISTRO ABONOS'!$B$8:$BC$10012,54,0)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6"/>
        <v>105000</v>
      </c>
      <c r="K3922" t="e">
        <f>VLOOKUP(B3922,'REGISTRO ABONOS'!$B$8:$BC$10012,54,0)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6"/>
        <v>105000</v>
      </c>
      <c r="K3923" t="e">
        <f>VLOOKUP(B3923,'REGISTRO ABONOS'!$B$8:$BC$10012,54,0)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6"/>
        <v>105000</v>
      </c>
      <c r="K3924" t="e">
        <f>VLOOKUP(B3924,'REGISTRO ABONOS'!$B$8:$BC$10012,54,0)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6"/>
        <v>105000</v>
      </c>
      <c r="K3925" t="e">
        <f>VLOOKUP(B3925,'REGISTRO ABONOS'!$B$8:$BC$10012,54,0)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6"/>
        <v>105000</v>
      </c>
      <c r="K3926" t="e">
        <f>VLOOKUP(B3926,'REGISTRO ABONOS'!$B$8:$BC$10012,54,0)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6"/>
        <v>105000</v>
      </c>
      <c r="K3927" t="e">
        <f>VLOOKUP(B3927,'REGISTRO ABONOS'!$B$8:$BC$10012,54,0)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6"/>
        <v>105000</v>
      </c>
      <c r="K3928" t="e">
        <f>VLOOKUP(B3928,'REGISTRO ABONOS'!$B$8:$BC$10012,54,0)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6"/>
        <v>105000</v>
      </c>
      <c r="K3929" t="e">
        <f>VLOOKUP(B3929,'REGISTRO ABONOS'!$B$8:$BC$10012,54,0)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J3930">
        <f t="shared" si="66"/>
        <v>105000</v>
      </c>
      <c r="K3930" t="e">
        <f>VLOOKUP(B3930,'REGISTRO ABONOS'!$B$8:$BC$10012,54,0)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6"/>
        <v>105000</v>
      </c>
      <c r="K3931" t="e">
        <f>VLOOKUP(B3931,'REGISTRO ABONOS'!$B$8:$BC$10012,54,0)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6"/>
        <v>105000</v>
      </c>
      <c r="K3932" t="e">
        <f>VLOOKUP(B3932,'REGISTRO ABONOS'!$B$8:$BC$10012,54,0)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6"/>
        <v>105000</v>
      </c>
      <c r="K3933" t="e">
        <f>VLOOKUP(B3933,'REGISTRO ABONOS'!$B$8:$BC$10012,54,0)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6"/>
        <v>105000</v>
      </c>
      <c r="K3934" t="e">
        <f>VLOOKUP(B3934,'REGISTRO ABONOS'!$B$8:$BC$10012,54,0)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6"/>
        <v>105000</v>
      </c>
      <c r="K3935" t="e">
        <f>VLOOKUP(B3935,'REGISTRO ABONOS'!$B$8:$BC$10012,54,0)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6"/>
        <v>105000</v>
      </c>
      <c r="K3936" t="e">
        <f>VLOOKUP(B3936,'REGISTRO ABONOS'!$B$8:$BC$10012,54,0)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6"/>
        <v>105000</v>
      </c>
      <c r="K3937" t="e">
        <f>VLOOKUP(B3937,'REGISTRO ABONOS'!$B$8:$BC$10012,54,0)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6"/>
        <v>105000</v>
      </c>
      <c r="K3938" t="e">
        <f>VLOOKUP(B3938,'REGISTRO ABONOS'!$B$8:$BC$10012,54,0)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6"/>
        <v>105000</v>
      </c>
      <c r="K3939" t="e">
        <f>VLOOKUP(B3939,'REGISTRO ABONOS'!$B$8:$BC$10012,54,0)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6"/>
        <v>105000</v>
      </c>
      <c r="K3940" t="e">
        <f>VLOOKUP(B3940,'REGISTRO ABONOS'!$B$8:$BC$10012,54,0)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6"/>
        <v>105000</v>
      </c>
      <c r="K3941" t="e">
        <f>VLOOKUP(B3941,'REGISTRO ABONOS'!$B$8:$BC$10012,54,0)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6"/>
        <v>105000</v>
      </c>
      <c r="K3942" t="e">
        <f>VLOOKUP(B3942,'REGISTRO ABONOS'!$B$8:$BC$10012,54,0)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6"/>
        <v>105000</v>
      </c>
      <c r="K3943" t="e">
        <f>VLOOKUP(B3943,'REGISTRO ABONOS'!$B$8:$BC$10012,54,0)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6"/>
        <v>105000</v>
      </c>
      <c r="K3944" t="e">
        <f>VLOOKUP(B3944,'REGISTRO ABONOS'!$B$8:$BC$10012,54,0)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6"/>
        <v>105000</v>
      </c>
      <c r="K3945" t="e">
        <f>VLOOKUP(B3945,'REGISTRO ABONOS'!$B$8:$BC$10012,54,0)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6"/>
        <v>105000</v>
      </c>
      <c r="K3946" t="e">
        <f>VLOOKUP(B3946,'REGISTRO ABONOS'!$B$8:$BC$10012,54,0)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6"/>
        <v>105000</v>
      </c>
      <c r="K3947" t="e">
        <f>VLOOKUP(B3947,'REGISTRO ABONOS'!$B$8:$BC$10012,54,0)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6"/>
        <v>105000</v>
      </c>
      <c r="K3948" t="e">
        <f>VLOOKUP(B3948,'REGISTRO ABONOS'!$B$8:$BC$10012,54,0)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6"/>
        <v>105000</v>
      </c>
      <c r="K3949" t="e">
        <f>VLOOKUP(B3949,'REGISTRO ABONOS'!$B$8:$BC$10012,54,0)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6"/>
        <v>105000</v>
      </c>
      <c r="K3950" t="e">
        <f>VLOOKUP(B3950,'REGISTRO ABONOS'!$B$8:$BC$10012,54,0)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6"/>
        <v>105000</v>
      </c>
      <c r="K3951" t="e">
        <f>VLOOKUP(B3951,'REGISTRO ABONOS'!$B$8:$BC$10012,54,0)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6"/>
        <v>105000</v>
      </c>
      <c r="K3952" t="e">
        <f>VLOOKUP(B3952,'REGISTRO ABONOS'!$B$8:$BC$10012,54,0)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6"/>
        <v>105000</v>
      </c>
      <c r="K3953" t="e">
        <f>VLOOKUP(B3953,'REGISTRO ABONOS'!$B$8:$BC$10012,54,0)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6"/>
        <v>105000</v>
      </c>
      <c r="K3954" t="e">
        <f>VLOOKUP(B3954,'REGISTRO ABONOS'!$B$8:$BC$10012,54,0)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6"/>
        <v>105000</v>
      </c>
      <c r="K3955" t="e">
        <f>VLOOKUP(B3955,'REGISTRO ABONOS'!$B$8:$BC$10012,54,0)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6"/>
        <v>105000</v>
      </c>
      <c r="K3956" t="e">
        <f>VLOOKUP(B3956,'REGISTRO ABONOS'!$B$8:$BC$10012,54,0)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6"/>
        <v>105000</v>
      </c>
      <c r="K3957" t="e">
        <f>VLOOKUP(B3957,'REGISTRO ABONOS'!$B$8:$BC$10012,54,0)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ABONOS'!$B$8:$BC$10012,54,0)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7"/>
        <v>105000</v>
      </c>
      <c r="K3959" t="e">
        <f>VLOOKUP(B3959,'REGISTRO ABONOS'!$B$8:$BC$10012,54,0)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7"/>
        <v>105000</v>
      </c>
      <c r="K3960" t="e">
        <f>VLOOKUP(B3960,'REGISTRO ABONOS'!$B$8:$BC$10012,54,0)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7"/>
        <v>105000</v>
      </c>
      <c r="K3961" t="e">
        <f>VLOOKUP(B3961,'REGISTRO ABONOS'!$B$8:$BC$10012,54,0)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7"/>
        <v>105000</v>
      </c>
      <c r="K3962" t="e">
        <f>VLOOKUP(B3962,'REGISTRO ABONOS'!$B$8:$BC$10012,54,0)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7"/>
        <v>105000</v>
      </c>
      <c r="K3963" t="e">
        <f>VLOOKUP(B3963,'REGISTRO ABONOS'!$B$8:$BC$10012,54,0)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7"/>
        <v>105000</v>
      </c>
      <c r="K3964" t="e">
        <f>VLOOKUP(B3964,'REGISTRO ABONOS'!$B$8:$BC$10012,54,0)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7"/>
        <v>105000</v>
      </c>
      <c r="K3965" t="e">
        <f>VLOOKUP(B3965,'REGISTRO ABONOS'!$B$8:$BC$10012,54,0)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7"/>
        <v>105000</v>
      </c>
      <c r="K3966" t="e">
        <f>VLOOKUP(B3966,'REGISTRO ABONOS'!$B$8:$BC$10012,54,0)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7"/>
        <v>105000</v>
      </c>
      <c r="K3967" t="e">
        <f>VLOOKUP(B3967,'REGISTRO ABONOS'!$B$8:$BC$10012,54,0)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7"/>
        <v>105000</v>
      </c>
      <c r="K3968" t="e">
        <f>VLOOKUP(B3968,'REGISTRO ABONOS'!$B$8:$BC$10012,54,0)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7"/>
        <v>105000</v>
      </c>
      <c r="K3969" t="e">
        <f>VLOOKUP(B3969,'REGISTRO ABONOS'!$B$8:$BC$10012,54,0)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7"/>
        <v>105000</v>
      </c>
      <c r="K3970" t="e">
        <f>VLOOKUP(B3970,'REGISTRO ABONOS'!$B$8:$BC$10012,54,0)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7"/>
        <v>105000</v>
      </c>
      <c r="K3971" t="e">
        <f>VLOOKUP(B3971,'REGISTRO ABONOS'!$B$8:$BC$10012,54,0)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7"/>
        <v>105000</v>
      </c>
      <c r="K3972" t="e">
        <f>VLOOKUP(B3972,'REGISTRO ABONOS'!$B$8:$BC$10012,54,0)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7"/>
        <v>105000</v>
      </c>
      <c r="K3973" t="e">
        <f>VLOOKUP(B3973,'REGISTRO ABONOS'!$B$8:$BC$10012,54,0)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7"/>
        <v>105000</v>
      </c>
      <c r="K3974" t="e">
        <f>VLOOKUP(B3974,'REGISTRO ABONOS'!$B$8:$BC$10012,54,0)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7"/>
        <v>105000</v>
      </c>
      <c r="K3975" t="e">
        <f>VLOOKUP(B3975,'REGISTRO ABONOS'!$B$8:$BC$10012,54,0)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7"/>
        <v>105000</v>
      </c>
      <c r="K3976" t="e">
        <f>VLOOKUP(B3976,'REGISTRO ABONOS'!$B$8:$BC$10012,54,0)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7"/>
        <v>105000</v>
      </c>
      <c r="K3977" t="e">
        <f>VLOOKUP(B3977,'REGISTRO ABONOS'!$B$8:$BC$10012,54,0)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7"/>
        <v>105000</v>
      </c>
      <c r="K3978" t="e">
        <f>VLOOKUP(B3978,'REGISTRO ABONOS'!$B$8:$BC$10012,54,0)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7"/>
        <v>105000</v>
      </c>
      <c r="K3979" t="e">
        <f>VLOOKUP(B3979,'REGISTRO ABONOS'!$B$8:$BC$10012,54,0)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7"/>
        <v>105000</v>
      </c>
      <c r="K3980" t="e">
        <f>VLOOKUP(B3980,'REGISTRO ABONOS'!$B$8:$BC$10012,54,0)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7"/>
        <v>105000</v>
      </c>
      <c r="K3981" t="e">
        <f>VLOOKUP(B3981,'REGISTRO ABONOS'!$B$8:$BC$10012,54,0)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7"/>
        <v>105000</v>
      </c>
      <c r="K3982" t="e">
        <f>VLOOKUP(B3982,'REGISTRO ABONOS'!$B$8:$BC$10012,54,0)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7"/>
        <v>105000</v>
      </c>
      <c r="K3983" t="e">
        <f>VLOOKUP(B3983,'REGISTRO ABONOS'!$B$8:$BC$10012,54,0)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7"/>
        <v>105000</v>
      </c>
      <c r="K3984" t="e">
        <f>VLOOKUP(B3984,'REGISTRO ABONOS'!$B$8:$BC$10012,54,0)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7"/>
        <v>105000</v>
      </c>
      <c r="K3985" t="e">
        <f>VLOOKUP(B3985,'REGISTRO ABONOS'!$B$8:$BC$10012,54,0)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7"/>
        <v>105000</v>
      </c>
      <c r="K3986" t="e">
        <f>VLOOKUP(B3986,'REGISTRO ABONOS'!$B$8:$BC$10012,54,0)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7"/>
        <v>105000</v>
      </c>
      <c r="K3987" t="e">
        <f>VLOOKUP(B3987,'REGISTRO ABONOS'!$B$8:$BC$10012,54,0)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7"/>
        <v>105000</v>
      </c>
      <c r="K3988" t="e">
        <f>VLOOKUP(B3988,'REGISTRO ABONOS'!$B$8:$BC$10012,54,0)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7"/>
        <v>105000</v>
      </c>
      <c r="K3989" t="e">
        <f>VLOOKUP(B3989,'REGISTRO ABONOS'!$B$8:$BC$10012,54,0)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7"/>
        <v>105000</v>
      </c>
      <c r="K3990" t="e">
        <f>VLOOKUP(B3990,'REGISTRO ABONOS'!$B$8:$BC$10012,54,0)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7"/>
        <v>105000</v>
      </c>
      <c r="K3991" t="e">
        <f>VLOOKUP(B3991,'REGISTRO ABONOS'!$B$8:$BC$10012,54,0)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7"/>
        <v>105000</v>
      </c>
      <c r="K3992" t="e">
        <f>VLOOKUP(B3992,'REGISTRO ABONOS'!$B$8:$BC$10012,54,0)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7"/>
        <v>105000</v>
      </c>
      <c r="K3993" t="e">
        <f>VLOOKUP(B3993,'REGISTRO ABONOS'!$B$8:$BC$10012,54,0)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7"/>
        <v>105000</v>
      </c>
      <c r="K3994" t="e">
        <f>VLOOKUP(B3994,'REGISTRO ABONOS'!$B$8:$BC$10012,54,0)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7"/>
        <v>105000</v>
      </c>
      <c r="K3995" t="e">
        <f>VLOOKUP(B3995,'REGISTRO ABONOS'!$B$8:$BC$10012,54,0)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7"/>
        <v>105000</v>
      </c>
      <c r="K3996" t="e">
        <f>VLOOKUP(B3996,'REGISTRO ABONOS'!$B$8:$BC$10012,54,0)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7"/>
        <v>105000</v>
      </c>
      <c r="K3997" t="e">
        <f>VLOOKUP(B3997,'REGISTRO ABONOS'!$B$8:$BC$10012,54,0)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7"/>
        <v>105000</v>
      </c>
      <c r="K3998" t="e">
        <f>VLOOKUP(B3998,'REGISTRO ABONOS'!$B$8:$BC$10012,54,0)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7"/>
        <v>105000</v>
      </c>
      <c r="K3999" t="e">
        <f>VLOOKUP(B3999,'REGISTRO ABONOS'!$B$8:$BC$10012,54,0)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7"/>
        <v>105000</v>
      </c>
      <c r="K4000" t="e">
        <f>VLOOKUP(B4000,'REGISTRO ABONOS'!$B$8:$BC$10012,54,0)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7"/>
        <v>105000</v>
      </c>
      <c r="K4001" t="e">
        <f>VLOOKUP(B4001,'REGISTRO ABONOS'!$B$8:$BC$10012,54,0)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7"/>
        <v>105000</v>
      </c>
      <c r="K4002" t="e">
        <f>VLOOKUP(B4002,'REGISTRO ABONOS'!$B$8:$BC$10012,54,0)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7"/>
        <v>105000</v>
      </c>
      <c r="K4003" t="e">
        <f>VLOOKUP(B4003,'REGISTRO ABONOS'!$B$8:$BC$10012,54,0)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7"/>
        <v>105000</v>
      </c>
      <c r="K4004" t="e">
        <f>VLOOKUP(B4004,'REGISTRO ABONOS'!$B$8:$BC$10012,54,0)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7"/>
        <v>105000</v>
      </c>
      <c r="K4005" t="e">
        <f>VLOOKUP(B4005,'REGISTRO ABONOS'!$B$8:$BC$10012,54,0)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J4006">
        <f t="shared" si="67"/>
        <v>105000</v>
      </c>
      <c r="K4006" t="e">
        <f>VLOOKUP(B4006,'REGISTRO ABONOS'!$B$8:$BC$10012,54,0)</f>
        <v>#N/A</v>
      </c>
      <c r="L4006" t="e">
        <f>IF(Tabla26[[#This Row],[VALOR RESTANTE]]&lt;Tabla26[[#This Row],[VALOR]],"NO DISPONIBLE","DISPONIBLE")</f>
        <v>#N/A</v>
      </c>
      <c r="M4006" s="9">
        <f>COUNTIF(Tabla26[[#This Row],[VALOR RESTANTE]],0)</f>
        <v>0</v>
      </c>
    </row>
    <row r="4007" spans="2:13" x14ac:dyDescent="0.2">
      <c r="B4007" s="31">
        <v>3998</v>
      </c>
      <c r="J4007">
        <f t="shared" si="67"/>
        <v>105000</v>
      </c>
      <c r="K4007" t="e">
        <f>VLOOKUP(B4007,'REGISTRO ABONOS'!$B$8:$BC$10012,54,0)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7"/>
        <v>105000</v>
      </c>
      <c r="K4008" t="e">
        <f>VLOOKUP(B4008,'REGISTRO ABONOS'!$B$8:$BC$10012,54,0)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7"/>
        <v>105000</v>
      </c>
      <c r="K4009" t="e">
        <f>VLOOKUP(B4009,'REGISTRO ABONOS'!$B$8:$BC$10012,54,0)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7"/>
        <v>105000</v>
      </c>
      <c r="K4010" t="e">
        <f>VLOOKUP(B4010,'REGISTRO ABONOS'!$B$8:$BC$10012,54,0)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7"/>
        <v>105000</v>
      </c>
      <c r="K4011" t="e">
        <f>VLOOKUP(B4011,'REGISTRO ABONOS'!$B$8:$BC$10012,54,0)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7"/>
        <v>105000</v>
      </c>
      <c r="K4012" t="e">
        <f>VLOOKUP(B4012,'REGISTRO ABONOS'!$B$8:$BC$10012,54,0)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7"/>
        <v>105000</v>
      </c>
      <c r="K4013" t="e">
        <f>VLOOKUP(B4013,'REGISTRO ABONOS'!$B$8:$BC$10012,54,0)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7"/>
        <v>105000</v>
      </c>
      <c r="K4014" t="e">
        <f>VLOOKUP(B4014,'REGISTRO ABONOS'!$B$8:$BC$10012,54,0)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7"/>
        <v>105000</v>
      </c>
      <c r="K4015" t="e">
        <f>VLOOKUP(B4015,'REGISTRO ABONOS'!$B$8:$BC$10012,54,0)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7"/>
        <v>105000</v>
      </c>
      <c r="K4016" t="e">
        <f>VLOOKUP(B4016,'REGISTRO ABONOS'!$B$8:$BC$10012,54,0)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7"/>
        <v>105000</v>
      </c>
      <c r="K4017" t="e">
        <f>VLOOKUP(B4017,'REGISTRO ABONOS'!$B$8:$BC$10012,54,0)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7"/>
        <v>105000</v>
      </c>
      <c r="K4018" t="e">
        <f>VLOOKUP(B4018,'REGISTRO ABONOS'!$B$8:$BC$10012,54,0)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7"/>
        <v>105000</v>
      </c>
      <c r="K4019" t="e">
        <f>VLOOKUP(B4019,'REGISTRO ABONOS'!$B$8:$BC$10012,54,0)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7"/>
        <v>105000</v>
      </c>
      <c r="K4020" t="e">
        <f>VLOOKUP(B4020,'REGISTRO ABONOS'!$B$8:$BC$10012,54,0)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7"/>
        <v>105000</v>
      </c>
      <c r="K4021" t="e">
        <f>VLOOKUP(B4021,'REGISTRO ABONOS'!$B$8:$BC$10012,54,0)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ABONOS'!$B$8:$BC$10012,54,0)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8"/>
        <v>105000</v>
      </c>
      <c r="K4023" t="e">
        <f>VLOOKUP(B4023,'REGISTRO ABONOS'!$B$8:$BC$10012,54,0)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8"/>
        <v>105000</v>
      </c>
      <c r="K4024" t="e">
        <f>VLOOKUP(B4024,'REGISTRO ABONOS'!$B$8:$BC$10012,54,0)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8"/>
        <v>105000</v>
      </c>
      <c r="K4025" t="e">
        <f>VLOOKUP(B4025,'REGISTRO ABONOS'!$B$8:$BC$10012,54,0)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8"/>
        <v>105000</v>
      </c>
      <c r="K4026" t="e">
        <f>VLOOKUP(B4026,'REGISTRO ABONOS'!$B$8:$BC$10012,54,0)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8"/>
        <v>105000</v>
      </c>
      <c r="K4027" t="e">
        <f>VLOOKUP(B4027,'REGISTRO ABONOS'!$B$8:$BC$10012,54,0)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8"/>
        <v>105000</v>
      </c>
      <c r="K4028" t="e">
        <f>VLOOKUP(B4028,'REGISTRO ABONOS'!$B$8:$BC$10012,54,0)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8"/>
        <v>105000</v>
      </c>
      <c r="K4029" t="e">
        <f>VLOOKUP(B4029,'REGISTRO ABONOS'!$B$8:$BC$10012,54,0)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8"/>
        <v>105000</v>
      </c>
      <c r="K4030" t="e">
        <f>VLOOKUP(B4030,'REGISTRO ABONOS'!$B$8:$BC$10012,54,0)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8"/>
        <v>105000</v>
      </c>
      <c r="K4031" t="e">
        <f>VLOOKUP(B4031,'REGISTRO ABONOS'!$B$8:$BC$10012,54,0)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8"/>
        <v>105000</v>
      </c>
      <c r="K4032" t="e">
        <f>VLOOKUP(B4032,'REGISTRO ABONOS'!$B$8:$BC$10012,54,0)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8"/>
        <v>105000</v>
      </c>
      <c r="K4033" t="e">
        <f>VLOOKUP(B4033,'REGISTRO ABONOS'!$B$8:$BC$10012,54,0)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8"/>
        <v>105000</v>
      </c>
      <c r="K4034" t="e">
        <f>VLOOKUP(B4034,'REGISTRO ABONOS'!$B$8:$BC$10012,54,0)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8"/>
        <v>105000</v>
      </c>
      <c r="K4035" t="e">
        <f>VLOOKUP(B4035,'REGISTRO ABONOS'!$B$8:$BC$10012,54,0)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8"/>
        <v>105000</v>
      </c>
      <c r="K4036" t="e">
        <f>VLOOKUP(B4036,'REGISTRO ABONOS'!$B$8:$BC$10012,54,0)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8"/>
        <v>105000</v>
      </c>
      <c r="K4037" t="e">
        <f>VLOOKUP(B4037,'REGISTRO ABONOS'!$B$8:$BC$10012,54,0)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8"/>
        <v>105000</v>
      </c>
      <c r="K4038" t="e">
        <f>VLOOKUP(B4038,'REGISTRO ABONOS'!$B$8:$BC$10012,54,0)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8"/>
        <v>105000</v>
      </c>
      <c r="K4039" t="e">
        <f>VLOOKUP(B4039,'REGISTRO ABONOS'!$B$8:$BC$10012,54,0)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8"/>
        <v>105000</v>
      </c>
      <c r="K4040" t="e">
        <f>VLOOKUP(B4040,'REGISTRO ABONOS'!$B$8:$BC$10012,54,0)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8"/>
        <v>105000</v>
      </c>
      <c r="K4041" t="e">
        <f>VLOOKUP(B4041,'REGISTRO ABONOS'!$B$8:$BC$10012,54,0)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8"/>
        <v>105000</v>
      </c>
      <c r="K4042" t="e">
        <f>VLOOKUP(B4042,'REGISTRO ABONOS'!$B$8:$BC$10012,54,0)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8"/>
        <v>105000</v>
      </c>
      <c r="K4043" t="e">
        <f>VLOOKUP(B4043,'REGISTRO ABONOS'!$B$8:$BC$10012,54,0)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8"/>
        <v>105000</v>
      </c>
      <c r="K4044" t="e">
        <f>VLOOKUP(B4044,'REGISTRO ABONOS'!$B$8:$BC$10012,54,0)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8"/>
        <v>105000</v>
      </c>
      <c r="K4045" t="e">
        <f>VLOOKUP(B4045,'REGISTRO ABONOS'!$B$8:$BC$10012,54,0)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8"/>
        <v>105000</v>
      </c>
      <c r="K4046" t="e">
        <f>VLOOKUP(B4046,'REGISTRO ABONOS'!$B$8:$BC$10012,54,0)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8"/>
        <v>105000</v>
      </c>
      <c r="K4047" t="e">
        <f>VLOOKUP(B4047,'REGISTRO ABONOS'!$B$8:$BC$10012,54,0)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8"/>
        <v>105000</v>
      </c>
      <c r="K4048" t="e">
        <f>VLOOKUP(B4048,'REGISTRO ABONOS'!$B$8:$BC$10012,54,0)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8"/>
        <v>105000</v>
      </c>
      <c r="K4049" t="e">
        <f>VLOOKUP(B4049,'REGISTRO ABONOS'!$B$8:$BC$10012,54,0)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8"/>
        <v>105000</v>
      </c>
      <c r="K4050" t="e">
        <f>VLOOKUP(B4050,'REGISTRO ABONOS'!$B$8:$BC$10012,54,0)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8"/>
        <v>105000</v>
      </c>
      <c r="K4051" t="e">
        <f>VLOOKUP(B4051,'REGISTRO ABONOS'!$B$8:$BC$10012,54,0)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8"/>
        <v>105000</v>
      </c>
      <c r="K4052" t="e">
        <f>VLOOKUP(B4052,'REGISTRO ABONOS'!$B$8:$BC$10012,54,0)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8"/>
        <v>105000</v>
      </c>
      <c r="K4053" t="e">
        <f>VLOOKUP(B4053,'REGISTRO ABONOS'!$B$8:$BC$10012,54,0)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8"/>
        <v>105000</v>
      </c>
      <c r="K4054" t="e">
        <f>VLOOKUP(B4054,'REGISTRO ABONOS'!$B$8:$BC$10012,54,0)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8"/>
        <v>105000</v>
      </c>
      <c r="K4055" t="e">
        <f>VLOOKUP(B4055,'REGISTRO ABONOS'!$B$8:$BC$10012,54,0)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8"/>
        <v>105000</v>
      </c>
      <c r="K4056" t="e">
        <f>VLOOKUP(B4056,'REGISTRO ABONOS'!$B$8:$BC$10012,54,0)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8"/>
        <v>105000</v>
      </c>
      <c r="K4057" t="e">
        <f>VLOOKUP(B4057,'REGISTRO ABONOS'!$B$8:$BC$10012,54,0)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8"/>
        <v>105000</v>
      </c>
      <c r="K4058" t="e">
        <f>VLOOKUP(B4058,'REGISTRO ABONOS'!$B$8:$BC$10012,54,0)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8"/>
        <v>105000</v>
      </c>
      <c r="K4059" t="e">
        <f>VLOOKUP(B4059,'REGISTRO ABONOS'!$B$8:$BC$10012,54,0)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8"/>
        <v>105000</v>
      </c>
      <c r="K4060" t="e">
        <f>VLOOKUP(B4060,'REGISTRO ABONOS'!$B$8:$BC$10012,54,0)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8"/>
        <v>105000</v>
      </c>
      <c r="K4061" t="e">
        <f>VLOOKUP(B4061,'REGISTRO ABONOS'!$B$8:$BC$10012,54,0)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8"/>
        <v>105000</v>
      </c>
      <c r="K4062" t="e">
        <f>VLOOKUP(B4062,'REGISTRO ABONOS'!$B$8:$BC$10012,54,0)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8"/>
        <v>105000</v>
      </c>
      <c r="K4063" t="e">
        <f>VLOOKUP(B4063,'REGISTRO ABONOS'!$B$8:$BC$10012,54,0)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8"/>
        <v>105000</v>
      </c>
      <c r="K4064" t="e">
        <f>VLOOKUP(B4064,'REGISTRO ABONOS'!$B$8:$BC$10012,54,0)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8"/>
        <v>105000</v>
      </c>
      <c r="K4065" t="e">
        <f>VLOOKUP(B4065,'REGISTRO ABONOS'!$B$8:$BC$10012,54,0)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8"/>
        <v>105000</v>
      </c>
      <c r="K4066" t="e">
        <f>VLOOKUP(B4066,'REGISTRO ABONOS'!$B$8:$BC$10012,54,0)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8"/>
        <v>105000</v>
      </c>
      <c r="K4067" t="e">
        <f>VLOOKUP(B4067,'REGISTRO ABONOS'!$B$8:$BC$10012,54,0)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8"/>
        <v>105000</v>
      </c>
      <c r="K4068" t="e">
        <f>VLOOKUP(B4068,'REGISTRO ABONOS'!$B$8:$BC$10012,54,0)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8"/>
        <v>105000</v>
      </c>
      <c r="K4069" t="e">
        <f>VLOOKUP(B4069,'REGISTRO ABONOS'!$B$8:$BC$10012,54,0)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8"/>
        <v>105000</v>
      </c>
      <c r="K4070" t="e">
        <f>VLOOKUP(B4070,'REGISTRO ABONOS'!$B$8:$BC$10012,54,0)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8"/>
        <v>105000</v>
      </c>
      <c r="K4071" t="e">
        <f>VLOOKUP(B4071,'REGISTRO ABONOS'!$B$8:$BC$10012,54,0)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8"/>
        <v>105000</v>
      </c>
      <c r="K4072" t="e">
        <f>VLOOKUP(B4072,'REGISTRO ABONOS'!$B$8:$BC$10012,54,0)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8"/>
        <v>105000</v>
      </c>
      <c r="K4073" t="e">
        <f>VLOOKUP(B4073,'REGISTRO ABONOS'!$B$8:$BC$10012,54,0)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8"/>
        <v>105000</v>
      </c>
      <c r="K4074" t="e">
        <f>VLOOKUP(B4074,'REGISTRO ABONOS'!$B$8:$BC$10012,54,0)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8"/>
        <v>105000</v>
      </c>
      <c r="K4075" t="e">
        <f>VLOOKUP(B4075,'REGISTRO ABONOS'!$B$8:$BC$10012,54,0)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8"/>
        <v>105000</v>
      </c>
      <c r="K4076" t="e">
        <f>VLOOKUP(B4076,'REGISTRO ABONOS'!$B$8:$BC$10012,54,0)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8"/>
        <v>105000</v>
      </c>
      <c r="K4077" t="e">
        <f>VLOOKUP(B4077,'REGISTRO ABONOS'!$B$8:$BC$10012,54,0)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8"/>
        <v>105000</v>
      </c>
      <c r="K4078" t="e">
        <f>VLOOKUP(B4078,'REGISTRO ABONOS'!$B$8:$BC$10012,54,0)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8"/>
        <v>105000</v>
      </c>
      <c r="K4079" t="e">
        <f>VLOOKUP(B4079,'REGISTRO ABONOS'!$B$8:$BC$10012,54,0)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8"/>
        <v>105000</v>
      </c>
      <c r="K4080" t="e">
        <f>VLOOKUP(B4080,'REGISTRO ABONOS'!$B$8:$BC$10012,54,0)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8"/>
        <v>105000</v>
      </c>
      <c r="K4081" t="e">
        <f>VLOOKUP(B4081,'REGISTRO ABONOS'!$B$8:$BC$10012,54,0)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8"/>
        <v>105000</v>
      </c>
      <c r="K4082" t="e">
        <f>VLOOKUP(B4082,'REGISTRO ABONOS'!$B$8:$BC$10012,54,0)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8"/>
        <v>105000</v>
      </c>
      <c r="K4083" t="e">
        <f>VLOOKUP(B4083,'REGISTRO ABONOS'!$B$8:$BC$10012,54,0)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8"/>
        <v>105000</v>
      </c>
      <c r="K4084" t="e">
        <f>VLOOKUP(B4084,'REGISTRO ABONOS'!$B$8:$BC$10012,54,0)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8"/>
        <v>105000</v>
      </c>
      <c r="K4085" t="e">
        <f>VLOOKUP(B4085,'REGISTRO ABONOS'!$B$8:$BC$10012,54,0)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ABONOS'!$B$8:$BC$10012,54,0)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9"/>
        <v>105000</v>
      </c>
      <c r="K4087" t="e">
        <f>VLOOKUP(B4087,'REGISTRO ABONOS'!$B$8:$BC$10012,54,0)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9"/>
        <v>105000</v>
      </c>
      <c r="K4088" t="e">
        <f>VLOOKUP(B4088,'REGISTRO ABONOS'!$B$8:$BC$10012,54,0)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9"/>
        <v>105000</v>
      </c>
      <c r="K4089" t="e">
        <f>VLOOKUP(B4089,'REGISTRO ABONOS'!$B$8:$BC$10012,54,0)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9"/>
        <v>105000</v>
      </c>
      <c r="K4090" t="e">
        <f>VLOOKUP(B4090,'REGISTRO ABONOS'!$B$8:$BC$10012,54,0)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9"/>
        <v>105000</v>
      </c>
      <c r="K4091" t="e">
        <f>VLOOKUP(B4091,'REGISTRO ABONOS'!$B$8:$BC$10012,54,0)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9"/>
        <v>105000</v>
      </c>
      <c r="K4092" t="e">
        <f>VLOOKUP(B4092,'REGISTRO ABONOS'!$B$8:$BC$10012,54,0)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9"/>
        <v>105000</v>
      </c>
      <c r="K4093" t="e">
        <f>VLOOKUP(B4093,'REGISTRO ABONOS'!$B$8:$BC$10012,54,0)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9"/>
        <v>105000</v>
      </c>
      <c r="K4094" t="e">
        <f>VLOOKUP(B4094,'REGISTRO ABONOS'!$B$8:$BC$10012,54,0)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9"/>
        <v>105000</v>
      </c>
      <c r="K4095" t="e">
        <f>VLOOKUP(B4095,'REGISTRO ABONOS'!$B$8:$BC$10012,54,0)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9"/>
        <v>105000</v>
      </c>
      <c r="K4096" t="e">
        <f>VLOOKUP(B4096,'REGISTRO ABONOS'!$B$8:$BC$10012,54,0)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9"/>
        <v>105000</v>
      </c>
      <c r="K4097" t="e">
        <f>VLOOKUP(B4097,'REGISTRO ABONOS'!$B$8:$BC$10012,54,0)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9"/>
        <v>105000</v>
      </c>
      <c r="K4098" t="e">
        <f>VLOOKUP(B4098,'REGISTRO ABONOS'!$B$8:$BC$10012,54,0)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9"/>
        <v>105000</v>
      </c>
      <c r="K4099" t="e">
        <f>VLOOKUP(B4099,'REGISTRO ABONOS'!$B$8:$BC$10012,54,0)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9"/>
        <v>105000</v>
      </c>
      <c r="K4100" t="e">
        <f>VLOOKUP(B4100,'REGISTRO ABONOS'!$B$8:$BC$10012,54,0)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9"/>
        <v>105000</v>
      </c>
      <c r="K4101" t="e">
        <f>VLOOKUP(B4101,'REGISTRO ABONOS'!$B$8:$BC$10012,54,0)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9"/>
        <v>105000</v>
      </c>
      <c r="K4102" t="e">
        <f>VLOOKUP(B4102,'REGISTRO ABONOS'!$B$8:$BC$10012,54,0)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9"/>
        <v>105000</v>
      </c>
      <c r="K4103" t="e">
        <f>VLOOKUP(B4103,'REGISTRO ABONOS'!$B$8:$BC$10012,54,0)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9"/>
        <v>105000</v>
      </c>
      <c r="K4104" t="e">
        <f>VLOOKUP(B4104,'REGISTRO ABONOS'!$B$8:$BC$10012,54,0)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9"/>
        <v>105000</v>
      </c>
      <c r="K4105" t="e">
        <f>VLOOKUP(B4105,'REGISTRO ABONOS'!$B$8:$BC$10012,54,0)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9"/>
        <v>105000</v>
      </c>
      <c r="K4106" t="e">
        <f>VLOOKUP(B4106,'REGISTRO ABONOS'!$B$8:$BC$10012,54,0)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9"/>
        <v>105000</v>
      </c>
      <c r="K4107" t="e">
        <f>VLOOKUP(B4107,'REGISTRO ABONOS'!$B$8:$BC$10012,54,0)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9"/>
        <v>105000</v>
      </c>
      <c r="K4108" t="e">
        <f>VLOOKUP(B4108,'REGISTRO ABONOS'!$B$8:$BC$10012,54,0)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9"/>
        <v>105000</v>
      </c>
      <c r="K4109" t="e">
        <f>VLOOKUP(B4109,'REGISTRO ABONOS'!$B$8:$BC$10012,54,0)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9"/>
        <v>105000</v>
      </c>
      <c r="K4110" t="e">
        <f>VLOOKUP(B4110,'REGISTRO ABONOS'!$B$8:$BC$10012,54,0)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9"/>
        <v>105000</v>
      </c>
      <c r="K4111" t="e">
        <f>VLOOKUP(B4111,'REGISTRO ABONOS'!$B$8:$BC$10012,54,0)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9"/>
        <v>105000</v>
      </c>
      <c r="K4112" t="e">
        <f>VLOOKUP(B4112,'REGISTRO ABONOS'!$B$8:$BC$10012,54,0)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9"/>
        <v>105000</v>
      </c>
      <c r="K4113" t="e">
        <f>VLOOKUP(B4113,'REGISTRO ABONOS'!$B$8:$BC$10012,54,0)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9"/>
        <v>105000</v>
      </c>
      <c r="K4114" t="e">
        <f>VLOOKUP(B4114,'REGISTRO ABONOS'!$B$8:$BC$10012,54,0)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9"/>
        <v>105000</v>
      </c>
      <c r="K4115" t="e">
        <f>VLOOKUP(B4115,'REGISTRO ABONOS'!$B$8:$BC$10012,54,0)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9"/>
        <v>105000</v>
      </c>
      <c r="K4116" t="e">
        <f>VLOOKUP(B4116,'REGISTRO ABONOS'!$B$8:$BC$10012,54,0)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9"/>
        <v>105000</v>
      </c>
      <c r="K4117" t="e">
        <f>VLOOKUP(B4117,'REGISTRO ABONOS'!$B$8:$BC$10012,54,0)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9"/>
        <v>105000</v>
      </c>
      <c r="K4118" t="e">
        <f>VLOOKUP(B4118,'REGISTRO ABONOS'!$B$8:$BC$10012,54,0)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9"/>
        <v>105000</v>
      </c>
      <c r="K4119" t="e">
        <f>VLOOKUP(B4119,'REGISTRO ABONOS'!$B$8:$BC$10012,54,0)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9"/>
        <v>105000</v>
      </c>
      <c r="K4120" t="e">
        <f>VLOOKUP(B4120,'REGISTRO ABONOS'!$B$8:$BC$10012,54,0)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9"/>
        <v>105000</v>
      </c>
      <c r="K4121" t="e">
        <f>VLOOKUP(B4121,'REGISTRO ABONOS'!$B$8:$BC$10012,54,0)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9"/>
        <v>105000</v>
      </c>
      <c r="K4122" t="e">
        <f>VLOOKUP(B4122,'REGISTRO ABONOS'!$B$8:$BC$10012,54,0)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9"/>
        <v>105000</v>
      </c>
      <c r="K4123" t="e">
        <f>VLOOKUP(B4123,'REGISTRO ABONOS'!$B$8:$BC$10012,54,0)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9"/>
        <v>105000</v>
      </c>
      <c r="K4124" t="e">
        <f>VLOOKUP(B4124,'REGISTRO ABONOS'!$B$8:$BC$10012,54,0)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9"/>
        <v>105000</v>
      </c>
      <c r="K4125" t="e">
        <f>VLOOKUP(B4125,'REGISTRO ABONOS'!$B$8:$BC$10012,54,0)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9"/>
        <v>105000</v>
      </c>
      <c r="K4126" t="e">
        <f>VLOOKUP(B4126,'REGISTRO ABONOS'!$B$8:$BC$10012,54,0)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9"/>
        <v>105000</v>
      </c>
      <c r="K4127" t="e">
        <f>VLOOKUP(B4127,'REGISTRO ABONOS'!$B$8:$BC$10012,54,0)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9"/>
        <v>105000</v>
      </c>
      <c r="K4128" t="e">
        <f>VLOOKUP(B4128,'REGISTRO ABONOS'!$B$8:$BC$10012,54,0)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9"/>
        <v>105000</v>
      </c>
      <c r="K4129" t="e">
        <f>VLOOKUP(B4129,'REGISTRO ABONOS'!$B$8:$BC$10012,54,0)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9"/>
        <v>105000</v>
      </c>
      <c r="K4130" t="e">
        <f>VLOOKUP(B4130,'REGISTRO ABONOS'!$B$8:$BC$10012,54,0)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J4131">
        <f t="shared" si="69"/>
        <v>105000</v>
      </c>
      <c r="K4131" t="e">
        <f>VLOOKUP(B4131,'REGISTRO ABONOS'!$B$8:$BC$10012,54,0)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9"/>
        <v>105000</v>
      </c>
      <c r="K4132" t="e">
        <f>VLOOKUP(B4132,'REGISTRO ABONOS'!$B$8:$BC$10012,54,0)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9"/>
        <v>105000</v>
      </c>
      <c r="K4133" t="e">
        <f>VLOOKUP(B4133,'REGISTRO ABONOS'!$B$8:$BC$10012,54,0)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9"/>
        <v>105000</v>
      </c>
      <c r="K4134" t="e">
        <f>VLOOKUP(B4134,'REGISTRO ABONOS'!$B$8:$BC$10012,54,0)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9"/>
        <v>105000</v>
      </c>
      <c r="K4135" t="e">
        <f>VLOOKUP(B4135,'REGISTRO ABONOS'!$B$8:$BC$10012,54,0)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9"/>
        <v>105000</v>
      </c>
      <c r="K4136" t="e">
        <f>VLOOKUP(B4136,'REGISTRO ABONOS'!$B$8:$BC$10012,54,0)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9"/>
        <v>105000</v>
      </c>
      <c r="K4137" t="e">
        <f>VLOOKUP(B4137,'REGISTRO ABONOS'!$B$8:$BC$10012,54,0)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9"/>
        <v>105000</v>
      </c>
      <c r="K4138" t="e">
        <f>VLOOKUP(B4138,'REGISTRO ABONOS'!$B$8:$BC$10012,54,0)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9"/>
        <v>105000</v>
      </c>
      <c r="K4139" t="e">
        <f>VLOOKUP(B4139,'REGISTRO ABONOS'!$B$8:$BC$10012,54,0)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9"/>
        <v>105000</v>
      </c>
      <c r="K4140" t="e">
        <f>VLOOKUP(B4140,'REGISTRO ABONOS'!$B$8:$BC$10012,54,0)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9"/>
        <v>105000</v>
      </c>
      <c r="K4141" t="e">
        <f>VLOOKUP(B4141,'REGISTRO ABONOS'!$B$8:$BC$10012,54,0)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9"/>
        <v>105000</v>
      </c>
      <c r="K4142" t="e">
        <f>VLOOKUP(B4142,'REGISTRO ABONOS'!$B$8:$BC$10012,54,0)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9"/>
        <v>105000</v>
      </c>
      <c r="K4143" t="e">
        <f>VLOOKUP(B4143,'REGISTRO ABONOS'!$B$8:$BC$10012,54,0)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9"/>
        <v>105000</v>
      </c>
      <c r="K4144" t="e">
        <f>VLOOKUP(B4144,'REGISTRO ABONOS'!$B$8:$BC$10012,54,0)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9"/>
        <v>105000</v>
      </c>
      <c r="K4145" t="e">
        <f>VLOOKUP(B4145,'REGISTRO ABONOS'!$B$8:$BC$10012,54,0)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9"/>
        <v>105000</v>
      </c>
      <c r="K4146" t="e">
        <f>VLOOKUP(B4146,'REGISTRO ABONOS'!$B$8:$BC$10012,54,0)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9"/>
        <v>105000</v>
      </c>
      <c r="K4147" t="e">
        <f>VLOOKUP(B4147,'REGISTRO ABONOS'!$B$8:$BC$10012,54,0)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9"/>
        <v>105000</v>
      </c>
      <c r="K4148" t="e">
        <f>VLOOKUP(B4148,'REGISTRO ABONOS'!$B$8:$BC$10012,54,0)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9"/>
        <v>105000</v>
      </c>
      <c r="K4149" t="e">
        <f>VLOOKUP(B4149,'REGISTRO ABONOS'!$B$8:$BC$10012,54,0)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ABONOS'!$B$8:$BC$10012,54,0)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70"/>
        <v>105000</v>
      </c>
      <c r="K4151" t="e">
        <f>VLOOKUP(B4151,'REGISTRO ABONOS'!$B$8:$BC$10012,54,0)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70"/>
        <v>105000</v>
      </c>
      <c r="K4152" t="e">
        <f>VLOOKUP(B4152,'REGISTRO ABONOS'!$B$8:$BC$10012,54,0)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70"/>
        <v>105000</v>
      </c>
      <c r="K4153" t="e">
        <f>VLOOKUP(B4153,'REGISTRO ABONOS'!$B$8:$BC$10012,54,0)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70"/>
        <v>105000</v>
      </c>
      <c r="K4154" t="e">
        <f>VLOOKUP(B4154,'REGISTRO ABONOS'!$B$8:$BC$10012,54,0)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70"/>
        <v>105000</v>
      </c>
      <c r="K4155" t="e">
        <f>VLOOKUP(B4155,'REGISTRO ABONOS'!$B$8:$BC$10012,54,0)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70"/>
        <v>105000</v>
      </c>
      <c r="K4156" t="e">
        <f>VLOOKUP(B4156,'REGISTRO ABONOS'!$B$8:$BC$10012,54,0)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70"/>
        <v>105000</v>
      </c>
      <c r="K4157" t="e">
        <f>VLOOKUP(B4157,'REGISTRO ABONOS'!$B$8:$BC$10012,54,0)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70"/>
        <v>105000</v>
      </c>
      <c r="K4158" t="e">
        <f>VLOOKUP(B4158,'REGISTRO ABONOS'!$B$8:$BC$10012,54,0)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70"/>
        <v>105000</v>
      </c>
      <c r="K4159" t="e">
        <f>VLOOKUP(B4159,'REGISTRO ABONOS'!$B$8:$BC$10012,54,0)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70"/>
        <v>105000</v>
      </c>
      <c r="K4160" t="e">
        <f>VLOOKUP(B4160,'REGISTRO ABONOS'!$B$8:$BC$10012,54,0)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70"/>
        <v>105000</v>
      </c>
      <c r="K4161" t="e">
        <f>VLOOKUP(B4161,'REGISTRO ABONOS'!$B$8:$BC$10012,54,0)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70"/>
        <v>105000</v>
      </c>
      <c r="K4162" t="e">
        <f>VLOOKUP(B4162,'REGISTRO ABONOS'!$B$8:$BC$10012,54,0)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70"/>
        <v>105000</v>
      </c>
      <c r="K4163" t="e">
        <f>VLOOKUP(B4163,'REGISTRO ABONOS'!$B$8:$BC$10012,54,0)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70"/>
        <v>105000</v>
      </c>
      <c r="K4164" t="e">
        <f>VLOOKUP(B4164,'REGISTRO ABONOS'!$B$8:$BC$10012,54,0)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70"/>
        <v>105000</v>
      </c>
      <c r="K4165" t="e">
        <f>VLOOKUP(B4165,'REGISTRO ABONOS'!$B$8:$BC$10012,54,0)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70"/>
        <v>105000</v>
      </c>
      <c r="K4166" t="e">
        <f>VLOOKUP(B4166,'REGISTRO ABONOS'!$B$8:$BC$10012,54,0)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70"/>
        <v>105000</v>
      </c>
      <c r="K4167" t="e">
        <f>VLOOKUP(B4167,'REGISTRO ABONOS'!$B$8:$BC$10012,54,0)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70"/>
        <v>105000</v>
      </c>
      <c r="K4168" t="e">
        <f>VLOOKUP(B4168,'REGISTRO ABONOS'!$B$8:$BC$10012,54,0)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70"/>
        <v>105000</v>
      </c>
      <c r="K4169" t="e">
        <f>VLOOKUP(B4169,'REGISTRO ABONOS'!$B$8:$BC$10012,54,0)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70"/>
        <v>105000</v>
      </c>
      <c r="K4170" t="e">
        <f>VLOOKUP(B4170,'REGISTRO ABONOS'!$B$8:$BC$10012,54,0)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70"/>
        <v>105000</v>
      </c>
      <c r="K4171" t="e">
        <f>VLOOKUP(B4171,'REGISTRO ABONOS'!$B$8:$BC$10012,54,0)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70"/>
        <v>105000</v>
      </c>
      <c r="K4172" t="e">
        <f>VLOOKUP(B4172,'REGISTRO ABONOS'!$B$8:$BC$10012,54,0)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70"/>
        <v>105000</v>
      </c>
      <c r="K4173" t="e">
        <f>VLOOKUP(B4173,'REGISTRO ABONOS'!$B$8:$BC$10012,54,0)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70"/>
        <v>105000</v>
      </c>
      <c r="K4174" t="e">
        <f>VLOOKUP(B4174,'REGISTRO ABONOS'!$B$8:$BC$10012,54,0)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70"/>
        <v>105000</v>
      </c>
      <c r="K4175" t="e">
        <f>VLOOKUP(B4175,'REGISTRO ABONOS'!$B$8:$BC$10012,54,0)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70"/>
        <v>105000</v>
      </c>
      <c r="K4176" t="e">
        <f>VLOOKUP(B4176,'REGISTRO ABONOS'!$B$8:$BC$10012,54,0)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70"/>
        <v>105000</v>
      </c>
      <c r="K4177" t="e">
        <f>VLOOKUP(B4177,'REGISTRO ABONOS'!$B$8:$BC$10012,54,0)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70"/>
        <v>105000</v>
      </c>
      <c r="K4178" t="e">
        <f>VLOOKUP(B4178,'REGISTRO ABONOS'!$B$8:$BC$10012,54,0)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70"/>
        <v>105000</v>
      </c>
      <c r="K4179" t="e">
        <f>VLOOKUP(B4179,'REGISTRO ABONOS'!$B$8:$BC$10012,54,0)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70"/>
        <v>105000</v>
      </c>
      <c r="K4180" t="e">
        <f>VLOOKUP(B4180,'REGISTRO ABONOS'!$B$8:$BC$10012,54,0)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70"/>
        <v>105000</v>
      </c>
      <c r="K4181" t="e">
        <f>VLOOKUP(B4181,'REGISTRO ABONOS'!$B$8:$BC$10012,54,0)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70"/>
        <v>105000</v>
      </c>
      <c r="K4182" t="e">
        <f>VLOOKUP(B4182,'REGISTRO ABONOS'!$B$8:$BC$10012,54,0)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70"/>
        <v>105000</v>
      </c>
      <c r="K4183" t="e">
        <f>VLOOKUP(B4183,'REGISTRO ABONOS'!$B$8:$BC$10012,54,0)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70"/>
        <v>105000</v>
      </c>
      <c r="K4184" t="e">
        <f>VLOOKUP(B4184,'REGISTRO ABONOS'!$B$8:$BC$10012,54,0)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70"/>
        <v>105000</v>
      </c>
      <c r="K4185" t="e">
        <f>VLOOKUP(B4185,'REGISTRO ABONOS'!$B$8:$BC$10012,54,0)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70"/>
        <v>105000</v>
      </c>
      <c r="K4186" t="e">
        <f>VLOOKUP(B4186,'REGISTRO ABONOS'!$B$8:$BC$10012,54,0)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70"/>
        <v>105000</v>
      </c>
      <c r="K4187" t="e">
        <f>VLOOKUP(B4187,'REGISTRO ABONOS'!$B$8:$BC$10012,54,0)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70"/>
        <v>105000</v>
      </c>
      <c r="K4188" t="e">
        <f>VLOOKUP(B4188,'REGISTRO ABONOS'!$B$8:$BC$10012,54,0)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70"/>
        <v>105000</v>
      </c>
      <c r="K4189" t="e">
        <f>VLOOKUP(B4189,'REGISTRO ABONOS'!$B$8:$BC$10012,54,0)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70"/>
        <v>105000</v>
      </c>
      <c r="K4190" t="e">
        <f>VLOOKUP(B4190,'REGISTRO ABONOS'!$B$8:$BC$10012,54,0)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70"/>
        <v>105000</v>
      </c>
      <c r="K4191" t="e">
        <f>VLOOKUP(B4191,'REGISTRO ABONOS'!$B$8:$BC$10012,54,0)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70"/>
        <v>105000</v>
      </c>
      <c r="K4192" t="e">
        <f>VLOOKUP(B4192,'REGISTRO ABONOS'!$B$8:$BC$10012,54,0)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70"/>
        <v>105000</v>
      </c>
      <c r="K4193" t="e">
        <f>VLOOKUP(B4193,'REGISTRO ABONOS'!$B$8:$BC$10012,54,0)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70"/>
        <v>105000</v>
      </c>
      <c r="K4194" t="e">
        <f>VLOOKUP(B4194,'REGISTRO ABONOS'!$B$8:$BC$10012,54,0)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70"/>
        <v>105000</v>
      </c>
      <c r="K4195" t="e">
        <f>VLOOKUP(B4195,'REGISTRO ABONOS'!$B$8:$BC$10012,54,0)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70"/>
        <v>105000</v>
      </c>
      <c r="K4196" t="e">
        <f>VLOOKUP(B4196,'REGISTRO ABONOS'!$B$8:$BC$10012,54,0)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70"/>
        <v>105000</v>
      </c>
      <c r="K4197" t="e">
        <f>VLOOKUP(B4197,'REGISTRO ABONOS'!$B$8:$BC$10012,54,0)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70"/>
        <v>105000</v>
      </c>
      <c r="K4198" t="e">
        <f>VLOOKUP(B4198,'REGISTRO ABONOS'!$B$8:$BC$10012,54,0)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70"/>
        <v>105000</v>
      </c>
      <c r="K4199" t="e">
        <f>VLOOKUP(B4199,'REGISTRO ABONOS'!$B$8:$BC$10012,54,0)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70"/>
        <v>105000</v>
      </c>
      <c r="K4200" t="e">
        <f>VLOOKUP(B4200,'REGISTRO ABONOS'!$B$8:$BC$10012,54,0)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70"/>
        <v>105000</v>
      </c>
      <c r="K4201" t="e">
        <f>VLOOKUP(B4201,'REGISTRO ABONOS'!$B$8:$BC$10012,54,0)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70"/>
        <v>105000</v>
      </c>
      <c r="K4202" t="e">
        <f>VLOOKUP(B4202,'REGISTRO ABONOS'!$B$8:$BC$10012,54,0)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70"/>
        <v>105000</v>
      </c>
      <c r="K4203" t="e">
        <f>VLOOKUP(B4203,'REGISTRO ABONOS'!$B$8:$BC$10012,54,0)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70"/>
        <v>105000</v>
      </c>
      <c r="K4204" t="e">
        <f>VLOOKUP(B4204,'REGISTRO ABONOS'!$B$8:$BC$10012,54,0)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70"/>
        <v>105000</v>
      </c>
      <c r="K4205" t="e">
        <f>VLOOKUP(B4205,'REGISTRO ABONOS'!$B$8:$BC$10012,54,0)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70"/>
        <v>105000</v>
      </c>
      <c r="K4206" t="e">
        <f>VLOOKUP(B4206,'REGISTRO ABONOS'!$B$8:$BC$10012,54,0)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70"/>
        <v>105000</v>
      </c>
      <c r="K4207" t="e">
        <f>VLOOKUP(B4207,'REGISTRO ABONOS'!$B$8:$BC$10012,54,0)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70"/>
        <v>105000</v>
      </c>
      <c r="K4208" t="e">
        <f>VLOOKUP(B4208,'REGISTRO ABONOS'!$B$8:$BC$10012,54,0)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70"/>
        <v>105000</v>
      </c>
      <c r="K4209" t="e">
        <f>VLOOKUP(B4209,'REGISTRO ABONOS'!$B$8:$BC$10012,54,0)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70"/>
        <v>105000</v>
      </c>
      <c r="K4210" t="e">
        <f>VLOOKUP(B4210,'REGISTRO ABONOS'!$B$8:$BC$10012,54,0)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70"/>
        <v>105000</v>
      </c>
      <c r="K4211" t="e">
        <f>VLOOKUP(B4211,'REGISTRO ABONOS'!$B$8:$BC$10012,54,0)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70"/>
        <v>105000</v>
      </c>
      <c r="K4212" t="e">
        <f>VLOOKUP(B4212,'REGISTRO ABONOS'!$B$8:$BC$10012,54,0)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70"/>
        <v>105000</v>
      </c>
      <c r="K4213" t="e">
        <f>VLOOKUP(B4213,'REGISTRO ABONOS'!$B$8:$BC$10012,54,0)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ABONOS'!$B$8:$BC$10012,54,0)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1"/>
        <v>105000</v>
      </c>
      <c r="K4215" t="e">
        <f>VLOOKUP(B4215,'REGISTRO ABONOS'!$B$8:$BC$10012,54,0)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1"/>
        <v>105000</v>
      </c>
      <c r="K4216" t="e">
        <f>VLOOKUP(B4216,'REGISTRO ABONOS'!$B$8:$BC$10012,54,0)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1"/>
        <v>105000</v>
      </c>
      <c r="K4217" t="e">
        <f>VLOOKUP(B4217,'REGISTRO ABONOS'!$B$8:$BC$10012,54,0)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1"/>
        <v>105000</v>
      </c>
      <c r="K4218" t="e">
        <f>VLOOKUP(B4218,'REGISTRO ABONOS'!$B$8:$BC$10012,54,0)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1"/>
        <v>105000</v>
      </c>
      <c r="K4219" t="e">
        <f>VLOOKUP(B4219,'REGISTRO ABONOS'!$B$8:$BC$10012,54,0)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1"/>
        <v>105000</v>
      </c>
      <c r="K4220" t="e">
        <f>VLOOKUP(B4220,'REGISTRO ABONOS'!$B$8:$BC$10012,54,0)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1"/>
        <v>105000</v>
      </c>
      <c r="K4221" t="e">
        <f>VLOOKUP(B4221,'REGISTRO ABONOS'!$B$8:$BC$10012,54,0)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1"/>
        <v>105000</v>
      </c>
      <c r="K4222" t="e">
        <f>VLOOKUP(B4222,'REGISTRO ABONOS'!$B$8:$BC$10012,54,0)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1"/>
        <v>105000</v>
      </c>
      <c r="K4223" t="e">
        <f>VLOOKUP(B4223,'REGISTRO ABONOS'!$B$8:$BC$10012,54,0)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1"/>
        <v>105000</v>
      </c>
      <c r="K4224" t="e">
        <f>VLOOKUP(B4224,'REGISTRO ABONOS'!$B$8:$BC$10012,54,0)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1"/>
        <v>105000</v>
      </c>
      <c r="K4225" t="e">
        <f>VLOOKUP(B4225,'REGISTRO ABONOS'!$B$8:$BC$10012,54,0)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1"/>
        <v>105000</v>
      </c>
      <c r="K4226" t="e">
        <f>VLOOKUP(B4226,'REGISTRO ABONOS'!$B$8:$BC$10012,54,0)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1"/>
        <v>105000</v>
      </c>
      <c r="K4227" t="e">
        <f>VLOOKUP(B4227,'REGISTRO ABONOS'!$B$8:$BC$10012,54,0)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1"/>
        <v>105000</v>
      </c>
      <c r="K4228" t="e">
        <f>VLOOKUP(B4228,'REGISTRO ABONOS'!$B$8:$BC$10012,54,0)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1"/>
        <v>105000</v>
      </c>
      <c r="K4229" t="e">
        <f>VLOOKUP(B4229,'REGISTRO ABONOS'!$B$8:$BC$10012,54,0)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1"/>
        <v>105000</v>
      </c>
      <c r="K4230" t="e">
        <f>VLOOKUP(B4230,'REGISTRO ABONOS'!$B$8:$BC$10012,54,0)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1"/>
        <v>105000</v>
      </c>
      <c r="K4231" t="e">
        <f>VLOOKUP(B4231,'REGISTRO ABONOS'!$B$8:$BC$10012,54,0)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1"/>
        <v>105000</v>
      </c>
      <c r="K4232" t="e">
        <f>VLOOKUP(B4232,'REGISTRO ABONOS'!$B$8:$BC$10012,54,0)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1"/>
        <v>105000</v>
      </c>
      <c r="K4233" t="e">
        <f>VLOOKUP(B4233,'REGISTRO ABONOS'!$B$8:$BC$10012,54,0)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1"/>
        <v>105000</v>
      </c>
      <c r="K4234" t="e">
        <f>VLOOKUP(B4234,'REGISTRO ABONOS'!$B$8:$BC$10012,54,0)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1"/>
        <v>105000</v>
      </c>
      <c r="K4235" t="e">
        <f>VLOOKUP(B4235,'REGISTRO ABONOS'!$B$8:$BC$10012,54,0)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1"/>
        <v>105000</v>
      </c>
      <c r="K4236" t="e">
        <f>VLOOKUP(B4236,'REGISTRO ABONOS'!$B$8:$BC$10012,54,0)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1"/>
        <v>105000</v>
      </c>
      <c r="K4237" t="e">
        <f>VLOOKUP(B4237,'REGISTRO ABONOS'!$B$8:$BC$10012,54,0)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1"/>
        <v>105000</v>
      </c>
      <c r="K4238" t="e">
        <f>VLOOKUP(B4238,'REGISTRO ABONOS'!$B$8:$BC$10012,54,0)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1"/>
        <v>105000</v>
      </c>
      <c r="K4239" t="e">
        <f>VLOOKUP(B4239,'REGISTRO ABONOS'!$B$8:$BC$10012,54,0)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1"/>
        <v>105000</v>
      </c>
      <c r="K4240" t="e">
        <f>VLOOKUP(B4240,'REGISTRO ABONOS'!$B$8:$BC$10012,54,0)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1"/>
        <v>105000</v>
      </c>
      <c r="K4241" t="e">
        <f>VLOOKUP(B4241,'REGISTRO ABONOS'!$B$8:$BC$10012,54,0)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1"/>
        <v>105000</v>
      </c>
      <c r="K4242" t="e">
        <f>VLOOKUP(B4242,'REGISTRO ABONOS'!$B$8:$BC$10012,54,0)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1"/>
        <v>105000</v>
      </c>
      <c r="K4243" t="e">
        <f>VLOOKUP(B4243,'REGISTRO ABONOS'!$B$8:$BC$10012,54,0)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1"/>
        <v>105000</v>
      </c>
      <c r="K4244" t="e">
        <f>VLOOKUP(B4244,'REGISTRO ABONOS'!$B$8:$BC$10012,54,0)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1"/>
        <v>105000</v>
      </c>
      <c r="K4245" t="e">
        <f>VLOOKUP(B4245,'REGISTRO ABONOS'!$B$8:$BC$10012,54,0)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1"/>
        <v>105000</v>
      </c>
      <c r="K4246" t="e">
        <f>VLOOKUP(B4246,'REGISTRO ABONOS'!$B$8:$BC$10012,54,0)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1"/>
        <v>105000</v>
      </c>
      <c r="K4247" t="e">
        <f>VLOOKUP(B4247,'REGISTRO ABONOS'!$B$8:$BC$10012,54,0)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1"/>
        <v>105000</v>
      </c>
      <c r="K4248" t="e">
        <f>VLOOKUP(B4248,'REGISTRO ABONOS'!$B$8:$BC$10012,54,0)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1"/>
        <v>105000</v>
      </c>
      <c r="K4249" t="e">
        <f>VLOOKUP(B4249,'REGISTRO ABONOS'!$B$8:$BC$10012,54,0)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1"/>
        <v>105000</v>
      </c>
      <c r="K4250" t="e">
        <f>VLOOKUP(B4250,'REGISTRO ABONOS'!$B$8:$BC$10012,54,0)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1"/>
        <v>105000</v>
      </c>
      <c r="K4251" t="e">
        <f>VLOOKUP(B4251,'REGISTRO ABONOS'!$B$8:$BC$10012,54,0)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1"/>
        <v>105000</v>
      </c>
      <c r="K4252" t="e">
        <f>VLOOKUP(B4252,'REGISTRO ABONOS'!$B$8:$BC$10012,54,0)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1"/>
        <v>105000</v>
      </c>
      <c r="K4253" t="e">
        <f>VLOOKUP(B4253,'REGISTRO ABONOS'!$B$8:$BC$10012,54,0)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1"/>
        <v>105000</v>
      </c>
      <c r="K4254" t="e">
        <f>VLOOKUP(B4254,'REGISTRO ABONOS'!$B$8:$BC$10012,54,0)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1"/>
        <v>105000</v>
      </c>
      <c r="K4255" t="e">
        <f>VLOOKUP(B4255,'REGISTRO ABONOS'!$B$8:$BC$10012,54,0)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1"/>
        <v>105000</v>
      </c>
      <c r="K4256" t="e">
        <f>VLOOKUP(B4256,'REGISTRO ABONOS'!$B$8:$BC$10012,54,0)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1"/>
        <v>105000</v>
      </c>
      <c r="K4257" t="e">
        <f>VLOOKUP(B4257,'REGISTRO ABONOS'!$B$8:$BC$10012,54,0)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1"/>
        <v>105000</v>
      </c>
      <c r="K4258" t="e">
        <f>VLOOKUP(B4258,'REGISTRO ABONOS'!$B$8:$BC$10012,54,0)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1"/>
        <v>105000</v>
      </c>
      <c r="K4259" t="e">
        <f>VLOOKUP(B4259,'REGISTRO ABONOS'!$B$8:$BC$10012,54,0)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1"/>
        <v>105000</v>
      </c>
      <c r="K4260" t="e">
        <f>VLOOKUP(B4260,'REGISTRO ABONOS'!$B$8:$BC$10012,54,0)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1"/>
        <v>105000</v>
      </c>
      <c r="K4261" t="e">
        <f>VLOOKUP(B4261,'REGISTRO ABONOS'!$B$8:$BC$10012,54,0)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1"/>
        <v>105000</v>
      </c>
      <c r="K4262" t="e">
        <f>VLOOKUP(B4262,'REGISTRO ABONOS'!$B$8:$BC$10012,54,0)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1"/>
        <v>105000</v>
      </c>
      <c r="K4263" t="e">
        <f>VLOOKUP(B4263,'REGISTRO ABONOS'!$B$8:$BC$10012,54,0)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1"/>
        <v>105000</v>
      </c>
      <c r="K4264" t="e">
        <f>VLOOKUP(B4264,'REGISTRO ABONOS'!$B$8:$BC$10012,54,0)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1"/>
        <v>105000</v>
      </c>
      <c r="K4265" t="e">
        <f>VLOOKUP(B4265,'REGISTRO ABONOS'!$B$8:$BC$10012,54,0)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1"/>
        <v>105000</v>
      </c>
      <c r="K4266" t="e">
        <f>VLOOKUP(B4266,'REGISTRO ABONOS'!$B$8:$BC$10012,54,0)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1"/>
        <v>105000</v>
      </c>
      <c r="K4267" t="e">
        <f>VLOOKUP(B4267,'REGISTRO ABONOS'!$B$8:$BC$10012,54,0)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1"/>
        <v>105000</v>
      </c>
      <c r="K4268" t="e">
        <f>VLOOKUP(B4268,'REGISTRO ABONOS'!$B$8:$BC$10012,54,0)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1"/>
        <v>105000</v>
      </c>
      <c r="K4269" t="e">
        <f>VLOOKUP(B4269,'REGISTRO ABONOS'!$B$8:$BC$10012,54,0)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1"/>
        <v>105000</v>
      </c>
      <c r="K4270" t="e">
        <f>VLOOKUP(B4270,'REGISTRO ABONOS'!$B$8:$BC$10012,54,0)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1"/>
        <v>105000</v>
      </c>
      <c r="K4271" t="e">
        <f>VLOOKUP(B4271,'REGISTRO ABONOS'!$B$8:$BC$10012,54,0)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1"/>
        <v>105000</v>
      </c>
      <c r="K4272" t="e">
        <f>VLOOKUP(B4272,'REGISTRO ABONOS'!$B$8:$BC$10012,54,0)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1"/>
        <v>105000</v>
      </c>
      <c r="K4273" t="e">
        <f>VLOOKUP(B4273,'REGISTRO ABONOS'!$B$8:$BC$10012,54,0)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1"/>
        <v>105000</v>
      </c>
      <c r="K4274" t="e">
        <f>VLOOKUP(B4274,'REGISTRO ABONOS'!$B$8:$BC$10012,54,0)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1"/>
        <v>105000</v>
      </c>
      <c r="K4275" t="e">
        <f>VLOOKUP(B4275,'REGISTRO ABONOS'!$B$8:$BC$10012,54,0)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1"/>
        <v>105000</v>
      </c>
      <c r="K4276" t="e">
        <f>VLOOKUP(B4276,'REGISTRO ABONOS'!$B$8:$BC$10012,54,0)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1"/>
        <v>105000</v>
      </c>
      <c r="K4277" t="e">
        <f>VLOOKUP(B4277,'REGISTRO ABONOS'!$B$8:$BC$10012,54,0)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ABONOS'!$B$8:$BC$10012,54,0)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2"/>
        <v>105000</v>
      </c>
      <c r="K4279" t="e">
        <f>VLOOKUP(B4279,'REGISTRO ABONOS'!$B$8:$BC$10012,54,0)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2"/>
        <v>105000</v>
      </c>
      <c r="K4280" t="e">
        <f>VLOOKUP(B4280,'REGISTRO ABONOS'!$B$8:$BC$10012,54,0)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2"/>
        <v>105000</v>
      </c>
      <c r="K4281" t="e">
        <f>VLOOKUP(B4281,'REGISTRO ABONOS'!$B$8:$BC$10012,54,0)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J4282">
        <f t="shared" si="72"/>
        <v>105000</v>
      </c>
      <c r="K4282" t="e">
        <f>VLOOKUP(B4282,'REGISTRO ABONOS'!$B$8:$BC$10012,54,0)</f>
        <v>#N/A</v>
      </c>
      <c r="L4282" t="e">
        <f>IF(Tabla26[[#This Row],[VALOR RESTANTE]]&lt;Tabla26[[#This Row],[VALOR]],"NO DISPONIBLE","DISPONIBLE")</f>
        <v>#N/A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2"/>
        <v>105000</v>
      </c>
      <c r="K4283" t="e">
        <f>VLOOKUP(B4283,'REGISTRO ABONOS'!$B$8:$BC$10012,54,0)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2"/>
        <v>105000</v>
      </c>
      <c r="K4284" t="e">
        <f>VLOOKUP(B4284,'REGISTRO ABONOS'!$B$8:$BC$10012,54,0)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2"/>
        <v>105000</v>
      </c>
      <c r="K4285" t="e">
        <f>VLOOKUP(B4285,'REGISTRO ABONOS'!$B$8:$BC$10012,54,0)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2"/>
        <v>105000</v>
      </c>
      <c r="K4286" t="e">
        <f>VLOOKUP(B4286,'REGISTRO ABONOS'!$B$8:$BC$10012,54,0)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2"/>
        <v>105000</v>
      </c>
      <c r="K4287" t="e">
        <f>VLOOKUP(B4287,'REGISTRO ABONOS'!$B$8:$BC$10012,54,0)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2"/>
        <v>105000</v>
      </c>
      <c r="K4288" t="e">
        <f>VLOOKUP(B4288,'REGISTRO ABONOS'!$B$8:$BC$10012,54,0)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2"/>
        <v>105000</v>
      </c>
      <c r="K4289" t="e">
        <f>VLOOKUP(B4289,'REGISTRO ABONOS'!$B$8:$BC$10012,54,0)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2"/>
        <v>105000</v>
      </c>
      <c r="K4290" t="e">
        <f>VLOOKUP(B4290,'REGISTRO ABONOS'!$B$8:$BC$10012,54,0)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2"/>
        <v>105000</v>
      </c>
      <c r="K4291" t="e">
        <f>VLOOKUP(B4291,'REGISTRO ABONOS'!$B$8:$BC$10012,54,0)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2"/>
        <v>105000</v>
      </c>
      <c r="K4292" t="e">
        <f>VLOOKUP(B4292,'REGISTRO ABONOS'!$B$8:$BC$10012,54,0)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2"/>
        <v>105000</v>
      </c>
      <c r="K4293" t="e">
        <f>VLOOKUP(B4293,'REGISTRO ABONOS'!$B$8:$BC$10012,54,0)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2"/>
        <v>105000</v>
      </c>
      <c r="K4294" t="e">
        <f>VLOOKUP(B4294,'REGISTRO ABONOS'!$B$8:$BC$10012,54,0)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2"/>
        <v>105000</v>
      </c>
      <c r="K4295" t="e">
        <f>VLOOKUP(B4295,'REGISTRO ABONOS'!$B$8:$BC$10012,54,0)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2"/>
        <v>105000</v>
      </c>
      <c r="K4296" t="e">
        <f>VLOOKUP(B4296,'REGISTRO ABONOS'!$B$8:$BC$10012,54,0)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2"/>
        <v>105000</v>
      </c>
      <c r="K4297" t="e">
        <f>VLOOKUP(B4297,'REGISTRO ABONOS'!$B$8:$BC$10012,54,0)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2"/>
        <v>105000</v>
      </c>
      <c r="K4298" t="e">
        <f>VLOOKUP(B4298,'REGISTRO ABONOS'!$B$8:$BC$10012,54,0)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2"/>
        <v>105000</v>
      </c>
      <c r="K4299" t="e">
        <f>VLOOKUP(B4299,'REGISTRO ABONOS'!$B$8:$BC$10012,54,0)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2"/>
        <v>105000</v>
      </c>
      <c r="K4300" t="e">
        <f>VLOOKUP(B4300,'REGISTRO ABONOS'!$B$8:$BC$10012,54,0)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2"/>
        <v>105000</v>
      </c>
      <c r="K4301" t="e">
        <f>VLOOKUP(B4301,'REGISTRO ABONOS'!$B$8:$BC$10012,54,0)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2"/>
        <v>105000</v>
      </c>
      <c r="K4302" t="e">
        <f>VLOOKUP(B4302,'REGISTRO ABONOS'!$B$8:$BC$10012,54,0)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2"/>
        <v>105000</v>
      </c>
      <c r="K4303" t="e">
        <f>VLOOKUP(B4303,'REGISTRO ABONOS'!$B$8:$BC$10012,54,0)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2"/>
        <v>105000</v>
      </c>
      <c r="K4304" t="e">
        <f>VLOOKUP(B4304,'REGISTRO ABONOS'!$B$8:$BC$10012,54,0)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2"/>
        <v>105000</v>
      </c>
      <c r="K4305" t="e">
        <f>VLOOKUP(B4305,'REGISTRO ABONOS'!$B$8:$BC$10012,54,0)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2"/>
        <v>105000</v>
      </c>
      <c r="K4306" t="e">
        <f>VLOOKUP(B4306,'REGISTRO ABONOS'!$B$8:$BC$10012,54,0)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2"/>
        <v>105000</v>
      </c>
      <c r="K4307" t="e">
        <f>VLOOKUP(B4307,'REGISTRO ABONOS'!$B$8:$BC$10012,54,0)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2"/>
        <v>105000</v>
      </c>
      <c r="K4308" t="e">
        <f>VLOOKUP(B4308,'REGISTRO ABONOS'!$B$8:$BC$10012,54,0)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2"/>
        <v>105000</v>
      </c>
      <c r="K4309" t="e">
        <f>VLOOKUP(B4309,'REGISTRO ABONOS'!$B$8:$BC$10012,54,0)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2"/>
        <v>105000</v>
      </c>
      <c r="K4310" t="e">
        <f>VLOOKUP(B4310,'REGISTRO ABONOS'!$B$8:$BC$10012,54,0)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2"/>
        <v>105000</v>
      </c>
      <c r="K4311" t="e">
        <f>VLOOKUP(B4311,'REGISTRO ABONOS'!$B$8:$BC$10012,54,0)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2"/>
        <v>105000</v>
      </c>
      <c r="K4312" t="e">
        <f>VLOOKUP(B4312,'REGISTRO ABONOS'!$B$8:$BC$10012,54,0)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2"/>
        <v>105000</v>
      </c>
      <c r="K4313" t="e">
        <f>VLOOKUP(B4313,'REGISTRO ABONOS'!$B$8:$BC$10012,54,0)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2"/>
        <v>105000</v>
      </c>
      <c r="K4314" t="e">
        <f>VLOOKUP(B4314,'REGISTRO ABONOS'!$B$8:$BC$10012,54,0)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2"/>
        <v>105000</v>
      </c>
      <c r="K4315" t="e">
        <f>VLOOKUP(B4315,'REGISTRO ABONOS'!$B$8:$BC$10012,54,0)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2"/>
        <v>105000</v>
      </c>
      <c r="K4316" t="e">
        <f>VLOOKUP(B4316,'REGISTRO ABONOS'!$B$8:$BC$10012,54,0)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2"/>
        <v>105000</v>
      </c>
      <c r="K4317" t="e">
        <f>VLOOKUP(B4317,'REGISTRO ABONOS'!$B$8:$BC$10012,54,0)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2"/>
        <v>105000</v>
      </c>
      <c r="K4318" t="e">
        <f>VLOOKUP(B4318,'REGISTRO ABONOS'!$B$8:$BC$10012,54,0)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2"/>
        <v>105000</v>
      </c>
      <c r="K4319" t="e">
        <f>VLOOKUP(B4319,'REGISTRO ABONOS'!$B$8:$BC$10012,54,0)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2"/>
        <v>105000</v>
      </c>
      <c r="K4320" t="e">
        <f>VLOOKUP(B4320,'REGISTRO ABONOS'!$B$8:$BC$10012,54,0)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2"/>
        <v>105000</v>
      </c>
      <c r="K4321" t="e">
        <f>VLOOKUP(B4321,'REGISTRO ABONOS'!$B$8:$BC$10012,54,0)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2"/>
        <v>105000</v>
      </c>
      <c r="K4322" t="e">
        <f>VLOOKUP(B4322,'REGISTRO ABONOS'!$B$8:$BC$10012,54,0)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2"/>
        <v>105000</v>
      </c>
      <c r="K4323" t="e">
        <f>VLOOKUP(B4323,'REGISTRO ABONOS'!$B$8:$BC$10012,54,0)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2"/>
        <v>105000</v>
      </c>
      <c r="K4324" t="e">
        <f>VLOOKUP(B4324,'REGISTRO ABONOS'!$B$8:$BC$10012,54,0)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2"/>
        <v>105000</v>
      </c>
      <c r="K4325" t="e">
        <f>VLOOKUP(B4325,'REGISTRO ABONOS'!$B$8:$BC$10012,54,0)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J4326">
        <f t="shared" si="72"/>
        <v>105000</v>
      </c>
      <c r="K4326" t="e">
        <f>VLOOKUP(B4326,'REGISTRO ABONOS'!$B$8:$BC$10012,54,0)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2"/>
        <v>105000</v>
      </c>
      <c r="K4327" t="e">
        <f>VLOOKUP(B4327,'REGISTRO ABONOS'!$B$8:$BC$10012,54,0)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2"/>
        <v>105000</v>
      </c>
      <c r="K4328" t="e">
        <f>VLOOKUP(B4328,'REGISTRO ABONOS'!$B$8:$BC$10012,54,0)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2"/>
        <v>105000</v>
      </c>
      <c r="K4329" t="e">
        <f>VLOOKUP(B4329,'REGISTRO ABONOS'!$B$8:$BC$10012,54,0)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2"/>
        <v>105000</v>
      </c>
      <c r="K4330" t="e">
        <f>VLOOKUP(B4330,'REGISTRO ABONOS'!$B$8:$BC$10012,54,0)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2"/>
        <v>105000</v>
      </c>
      <c r="K4331" t="e">
        <f>VLOOKUP(B4331,'REGISTRO ABONOS'!$B$8:$BC$10012,54,0)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2"/>
        <v>105000</v>
      </c>
      <c r="K4332" t="e">
        <f>VLOOKUP(B4332,'REGISTRO ABONOS'!$B$8:$BC$10012,54,0)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2"/>
        <v>105000</v>
      </c>
      <c r="K4333" t="e">
        <f>VLOOKUP(B4333,'REGISTRO ABONOS'!$B$8:$BC$10012,54,0)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2"/>
        <v>105000</v>
      </c>
      <c r="K4334" t="e">
        <f>VLOOKUP(B4334,'REGISTRO ABONOS'!$B$8:$BC$10012,54,0)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2"/>
        <v>105000</v>
      </c>
      <c r="K4335" t="e">
        <f>VLOOKUP(B4335,'REGISTRO ABONOS'!$B$8:$BC$10012,54,0)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2"/>
        <v>105000</v>
      </c>
      <c r="K4336" t="e">
        <f>VLOOKUP(B4336,'REGISTRO ABONOS'!$B$8:$BC$10012,54,0)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2"/>
        <v>105000</v>
      </c>
      <c r="K4337" t="e">
        <f>VLOOKUP(B4337,'REGISTRO ABONOS'!$B$8:$BC$10012,54,0)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2"/>
        <v>105000</v>
      </c>
      <c r="K4338" t="e">
        <f>VLOOKUP(B4338,'REGISTRO ABONOS'!$B$8:$BC$10012,54,0)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2"/>
        <v>105000</v>
      </c>
      <c r="K4339" t="e">
        <f>VLOOKUP(B4339,'REGISTRO ABONOS'!$B$8:$BC$10012,54,0)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2"/>
        <v>105000</v>
      </c>
      <c r="K4340" t="e">
        <f>VLOOKUP(B4340,'REGISTRO ABONOS'!$B$8:$BC$10012,54,0)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2"/>
        <v>105000</v>
      </c>
      <c r="K4341" t="e">
        <f>VLOOKUP(B4341,'REGISTRO ABONOS'!$B$8:$BC$10012,54,0)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ABONOS'!$B$8:$BC$10012,54,0)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J4343">
        <f t="shared" si="73"/>
        <v>105000</v>
      </c>
      <c r="K4343" t="e">
        <f>VLOOKUP(B4343,'REGISTRO ABONOS'!$B$8:$BC$10012,54,0)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3"/>
        <v>105000</v>
      </c>
      <c r="K4344" t="e">
        <f>VLOOKUP(B4344,'REGISTRO ABONOS'!$B$8:$BC$10012,54,0)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3"/>
        <v>105000</v>
      </c>
      <c r="K4345" t="e">
        <f>VLOOKUP(B4345,'REGISTRO ABONOS'!$B$8:$BC$10012,54,0)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3"/>
        <v>105000</v>
      </c>
      <c r="K4346" t="e">
        <f>VLOOKUP(B4346,'REGISTRO ABONOS'!$B$8:$BC$10012,54,0)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3"/>
        <v>105000</v>
      </c>
      <c r="K4347" t="e">
        <f>VLOOKUP(B4347,'REGISTRO ABONOS'!$B$8:$BC$10012,54,0)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3"/>
        <v>105000</v>
      </c>
      <c r="K4348" t="e">
        <f>VLOOKUP(B4348,'REGISTRO ABONOS'!$B$8:$BC$10012,54,0)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3"/>
        <v>105000</v>
      </c>
      <c r="K4349" t="e">
        <f>VLOOKUP(B4349,'REGISTRO ABONOS'!$B$8:$BC$10012,54,0)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3"/>
        <v>105000</v>
      </c>
      <c r="K4350" t="e">
        <f>VLOOKUP(B4350,'REGISTRO ABONOS'!$B$8:$BC$10012,54,0)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3"/>
        <v>105000</v>
      </c>
      <c r="K4351" t="e">
        <f>VLOOKUP(B4351,'REGISTRO ABONOS'!$B$8:$BC$10012,54,0)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3"/>
        <v>105000</v>
      </c>
      <c r="K4352" t="e">
        <f>VLOOKUP(B4352,'REGISTRO ABONOS'!$B$8:$BC$10012,54,0)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3"/>
        <v>105000</v>
      </c>
      <c r="K4353" t="e">
        <f>VLOOKUP(B4353,'REGISTRO ABONOS'!$B$8:$BC$10012,54,0)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3"/>
        <v>105000</v>
      </c>
      <c r="K4354" t="e">
        <f>VLOOKUP(B4354,'REGISTRO ABONOS'!$B$8:$BC$10012,54,0)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3"/>
        <v>105000</v>
      </c>
      <c r="K4355" t="e">
        <f>VLOOKUP(B4355,'REGISTRO ABONOS'!$B$8:$BC$10012,54,0)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3"/>
        <v>105000</v>
      </c>
      <c r="K4356" t="e">
        <f>VLOOKUP(B4356,'REGISTRO ABONOS'!$B$8:$BC$10012,54,0)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3"/>
        <v>105000</v>
      </c>
      <c r="K4357" t="e">
        <f>VLOOKUP(B4357,'REGISTRO ABONOS'!$B$8:$BC$10012,54,0)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3"/>
        <v>105000</v>
      </c>
      <c r="K4358" t="e">
        <f>VLOOKUP(B4358,'REGISTRO ABONOS'!$B$8:$BC$10012,54,0)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3"/>
        <v>105000</v>
      </c>
      <c r="K4359" t="e">
        <f>VLOOKUP(B4359,'REGISTRO ABONOS'!$B$8:$BC$10012,54,0)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3"/>
        <v>105000</v>
      </c>
      <c r="K4360" t="e">
        <f>VLOOKUP(B4360,'REGISTRO ABONOS'!$B$8:$BC$10012,54,0)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3"/>
        <v>105000</v>
      </c>
      <c r="K4361" t="e">
        <f>VLOOKUP(B4361,'REGISTRO ABONOS'!$B$8:$BC$10012,54,0)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3"/>
        <v>105000</v>
      </c>
      <c r="K4362" t="e">
        <f>VLOOKUP(B4362,'REGISTRO ABONOS'!$B$8:$BC$10012,54,0)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3"/>
        <v>105000</v>
      </c>
      <c r="K4363" t="e">
        <f>VLOOKUP(B4363,'REGISTRO ABONOS'!$B$8:$BC$10012,54,0)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3"/>
        <v>105000</v>
      </c>
      <c r="K4364" t="e">
        <f>VLOOKUP(B4364,'REGISTRO ABONOS'!$B$8:$BC$10012,54,0)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3"/>
        <v>105000</v>
      </c>
      <c r="K4365" t="e">
        <f>VLOOKUP(B4365,'REGISTRO ABONOS'!$B$8:$BC$10012,54,0)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3"/>
        <v>105000</v>
      </c>
      <c r="K4366" t="e">
        <f>VLOOKUP(B4366,'REGISTRO ABONOS'!$B$8:$BC$10012,54,0)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3"/>
        <v>105000</v>
      </c>
      <c r="K4367" t="e">
        <f>VLOOKUP(B4367,'REGISTRO ABONOS'!$B$8:$BC$10012,54,0)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3"/>
        <v>105000</v>
      </c>
      <c r="K4368" t="e">
        <f>VLOOKUP(B4368,'REGISTRO ABONOS'!$B$8:$BC$10012,54,0)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3"/>
        <v>105000</v>
      </c>
      <c r="K4369" t="e">
        <f>VLOOKUP(B4369,'REGISTRO ABONOS'!$B$8:$BC$10012,54,0)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3"/>
        <v>105000</v>
      </c>
      <c r="K4370" t="e">
        <f>VLOOKUP(B4370,'REGISTRO ABONOS'!$B$8:$BC$10012,54,0)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3"/>
        <v>105000</v>
      </c>
      <c r="K4371" t="e">
        <f>VLOOKUP(B4371,'REGISTRO ABONOS'!$B$8:$BC$10012,54,0)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3"/>
        <v>105000</v>
      </c>
      <c r="K4372" t="e">
        <f>VLOOKUP(B4372,'REGISTRO ABONOS'!$B$8:$BC$10012,54,0)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3"/>
        <v>105000</v>
      </c>
      <c r="K4373" t="e">
        <f>VLOOKUP(B4373,'REGISTRO ABONOS'!$B$8:$BC$10012,54,0)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3"/>
        <v>105000</v>
      </c>
      <c r="K4374" t="e">
        <f>VLOOKUP(B4374,'REGISTRO ABONOS'!$B$8:$BC$10012,54,0)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3"/>
        <v>105000</v>
      </c>
      <c r="K4375" t="e">
        <f>VLOOKUP(B4375,'REGISTRO ABONOS'!$B$8:$BC$10012,54,0)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3"/>
        <v>105000</v>
      </c>
      <c r="K4376" t="e">
        <f>VLOOKUP(B4376,'REGISTRO ABONOS'!$B$8:$BC$10012,54,0)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3"/>
        <v>105000</v>
      </c>
      <c r="K4377" t="e">
        <f>VLOOKUP(B4377,'REGISTRO ABONOS'!$B$8:$BC$10012,54,0)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3"/>
        <v>105000</v>
      </c>
      <c r="K4378" t="e">
        <f>VLOOKUP(B4378,'REGISTRO ABONOS'!$B$8:$BC$10012,54,0)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3"/>
        <v>105000</v>
      </c>
      <c r="K4379" t="e">
        <f>VLOOKUP(B4379,'REGISTRO ABONOS'!$B$8:$BC$10012,54,0)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3"/>
        <v>105000</v>
      </c>
      <c r="K4380" t="e">
        <f>VLOOKUP(B4380,'REGISTRO ABONOS'!$B$8:$BC$10012,54,0)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3"/>
        <v>105000</v>
      </c>
      <c r="K4381" t="e">
        <f>VLOOKUP(B4381,'REGISTRO ABONOS'!$B$8:$BC$10012,54,0)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3"/>
        <v>105000</v>
      </c>
      <c r="K4382" t="e">
        <f>VLOOKUP(B4382,'REGISTRO ABONOS'!$B$8:$BC$10012,54,0)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3"/>
        <v>105000</v>
      </c>
      <c r="K4383" t="e">
        <f>VLOOKUP(B4383,'REGISTRO ABONOS'!$B$8:$BC$10012,54,0)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3"/>
        <v>105000</v>
      </c>
      <c r="K4384" t="e">
        <f>VLOOKUP(B4384,'REGISTRO ABONOS'!$B$8:$BC$10012,54,0)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3"/>
        <v>105000</v>
      </c>
      <c r="K4385" t="e">
        <f>VLOOKUP(B4385,'REGISTRO ABONOS'!$B$8:$BC$10012,54,0)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3"/>
        <v>105000</v>
      </c>
      <c r="K4386" t="e">
        <f>VLOOKUP(B4386,'REGISTRO ABONOS'!$B$8:$BC$10012,54,0)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3"/>
        <v>105000</v>
      </c>
      <c r="K4387" t="e">
        <f>VLOOKUP(B4387,'REGISTRO ABONOS'!$B$8:$BC$10012,54,0)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3"/>
        <v>105000</v>
      </c>
      <c r="K4388" t="e">
        <f>VLOOKUP(B4388,'REGISTRO ABONOS'!$B$8:$BC$10012,54,0)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3"/>
        <v>105000</v>
      </c>
      <c r="K4389" t="e">
        <f>VLOOKUP(B4389,'REGISTRO ABONOS'!$B$8:$BC$10012,54,0)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3"/>
        <v>105000</v>
      </c>
      <c r="K4390" t="e">
        <f>VLOOKUP(B4390,'REGISTRO ABONOS'!$B$8:$BC$10012,54,0)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3"/>
        <v>105000</v>
      </c>
      <c r="K4391" t="e">
        <f>VLOOKUP(B4391,'REGISTRO ABONOS'!$B$8:$BC$10012,54,0)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3"/>
        <v>105000</v>
      </c>
      <c r="K4392" t="e">
        <f>VLOOKUP(B4392,'REGISTRO ABONOS'!$B$8:$BC$10012,54,0)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3"/>
        <v>105000</v>
      </c>
      <c r="K4393" t="e">
        <f>VLOOKUP(B4393,'REGISTRO ABONOS'!$B$8:$BC$10012,54,0)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3"/>
        <v>105000</v>
      </c>
      <c r="K4394" t="e">
        <f>VLOOKUP(B4394,'REGISTRO ABONOS'!$B$8:$BC$10012,54,0)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3"/>
        <v>105000</v>
      </c>
      <c r="K4395" t="e">
        <f>VLOOKUP(B4395,'REGISTRO ABONOS'!$B$8:$BC$10012,54,0)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3"/>
        <v>105000</v>
      </c>
      <c r="K4396" t="e">
        <f>VLOOKUP(B4396,'REGISTRO ABONOS'!$B$8:$BC$10012,54,0)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3"/>
        <v>105000</v>
      </c>
      <c r="K4397" t="e">
        <f>VLOOKUP(B4397,'REGISTRO ABONOS'!$B$8:$BC$10012,54,0)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3"/>
        <v>105000</v>
      </c>
      <c r="K4398" t="e">
        <f>VLOOKUP(B4398,'REGISTRO ABONOS'!$B$8:$BC$10012,54,0)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3"/>
        <v>105000</v>
      </c>
      <c r="K4399" t="e">
        <f>VLOOKUP(B4399,'REGISTRO ABONOS'!$B$8:$BC$10012,54,0)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3"/>
        <v>105000</v>
      </c>
      <c r="K4400" t="e">
        <f>VLOOKUP(B4400,'REGISTRO ABONOS'!$B$8:$BC$10012,54,0)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3"/>
        <v>105000</v>
      </c>
      <c r="K4401" t="e">
        <f>VLOOKUP(B4401,'REGISTRO ABONOS'!$B$8:$BC$10012,54,0)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3"/>
        <v>105000</v>
      </c>
      <c r="K4402" t="e">
        <f>VLOOKUP(B4402,'REGISTRO ABONOS'!$B$8:$BC$10012,54,0)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3"/>
        <v>105000</v>
      </c>
      <c r="K4403" t="e">
        <f>VLOOKUP(B4403,'REGISTRO ABONOS'!$B$8:$BC$10012,54,0)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3"/>
        <v>105000</v>
      </c>
      <c r="K4404" t="e">
        <f>VLOOKUP(B4404,'REGISTRO ABONOS'!$B$8:$BC$10012,54,0)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3"/>
        <v>105000</v>
      </c>
      <c r="K4405" t="e">
        <f>VLOOKUP(B4405,'REGISTRO ABONOS'!$B$8:$BC$10012,54,0)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ABONOS'!$B$8:$BC$10012,54,0)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4"/>
        <v>105000</v>
      </c>
      <c r="K4407" t="e">
        <f>VLOOKUP(B4407,'REGISTRO ABONOS'!$B$8:$BC$10012,54,0)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4"/>
        <v>105000</v>
      </c>
      <c r="K4408" t="e">
        <f>VLOOKUP(B4408,'REGISTRO ABONOS'!$B$8:$BC$10012,54,0)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4"/>
        <v>105000</v>
      </c>
      <c r="K4409" t="e">
        <f>VLOOKUP(B4409,'REGISTRO ABONOS'!$B$8:$BC$10012,54,0)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4"/>
        <v>105000</v>
      </c>
      <c r="K4410" t="e">
        <f>VLOOKUP(B4410,'REGISTRO ABONOS'!$B$8:$BC$10012,54,0)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4"/>
        <v>105000</v>
      </c>
      <c r="K4411" t="e">
        <f>VLOOKUP(B4411,'REGISTRO ABONOS'!$B$8:$BC$10012,54,0)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4"/>
        <v>105000</v>
      </c>
      <c r="K4412" t="e">
        <f>VLOOKUP(B4412,'REGISTRO ABONOS'!$B$8:$BC$10012,54,0)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4"/>
        <v>105000</v>
      </c>
      <c r="K4413" t="e">
        <f>VLOOKUP(B4413,'REGISTRO ABONOS'!$B$8:$BC$10012,54,0)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4"/>
        <v>105000</v>
      </c>
      <c r="K4414" t="e">
        <f>VLOOKUP(B4414,'REGISTRO ABONOS'!$B$8:$BC$10012,54,0)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4"/>
        <v>105000</v>
      </c>
      <c r="K4415" t="e">
        <f>VLOOKUP(B4415,'REGISTRO ABONOS'!$B$8:$BC$10012,54,0)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4"/>
        <v>105000</v>
      </c>
      <c r="K4416" t="e">
        <f>VLOOKUP(B4416,'REGISTRO ABONOS'!$B$8:$BC$10012,54,0)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4"/>
        <v>105000</v>
      </c>
      <c r="K4417" t="e">
        <f>VLOOKUP(B4417,'REGISTRO ABONOS'!$B$8:$BC$10012,54,0)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4"/>
        <v>105000</v>
      </c>
      <c r="K4418" t="e">
        <f>VLOOKUP(B4418,'REGISTRO ABONOS'!$B$8:$BC$10012,54,0)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4"/>
        <v>105000</v>
      </c>
      <c r="K4419" t="e">
        <f>VLOOKUP(B4419,'REGISTRO ABONOS'!$B$8:$BC$10012,54,0)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4"/>
        <v>105000</v>
      </c>
      <c r="K4420" t="e">
        <f>VLOOKUP(B4420,'REGISTRO ABONOS'!$B$8:$BC$10012,54,0)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4"/>
        <v>105000</v>
      </c>
      <c r="K4421" t="e">
        <f>VLOOKUP(B4421,'REGISTRO ABONOS'!$B$8:$BC$10012,54,0)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4"/>
        <v>105000</v>
      </c>
      <c r="K4422" t="e">
        <f>VLOOKUP(B4422,'REGISTRO ABONOS'!$B$8:$BC$10012,54,0)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4"/>
        <v>105000</v>
      </c>
      <c r="K4423" t="e">
        <f>VLOOKUP(B4423,'REGISTRO ABONOS'!$B$8:$BC$10012,54,0)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4"/>
        <v>105000</v>
      </c>
      <c r="K4424" t="e">
        <f>VLOOKUP(B4424,'REGISTRO ABONOS'!$B$8:$BC$10012,54,0)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4"/>
        <v>105000</v>
      </c>
      <c r="K4425" t="e">
        <f>VLOOKUP(B4425,'REGISTRO ABONOS'!$B$8:$BC$10012,54,0)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4"/>
        <v>105000</v>
      </c>
      <c r="K4426" t="e">
        <f>VLOOKUP(B4426,'REGISTRO ABONOS'!$B$8:$BC$10012,54,0)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J4427">
        <f t="shared" si="74"/>
        <v>105000</v>
      </c>
      <c r="K4427" t="e">
        <f>VLOOKUP(B4427,'REGISTRO ABONOS'!$B$8:$BC$10012,54,0)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4"/>
        <v>105000</v>
      </c>
      <c r="K4428" t="e">
        <f>VLOOKUP(B4428,'REGISTRO ABONOS'!$B$8:$BC$10012,54,0)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4"/>
        <v>105000</v>
      </c>
      <c r="K4429" t="e">
        <f>VLOOKUP(B4429,'REGISTRO ABONOS'!$B$8:$BC$10012,54,0)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4"/>
        <v>105000</v>
      </c>
      <c r="K4430" t="e">
        <f>VLOOKUP(B4430,'REGISTRO ABONOS'!$B$8:$BC$10012,54,0)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4"/>
        <v>105000</v>
      </c>
      <c r="K4431" t="e">
        <f>VLOOKUP(B4431,'REGISTRO ABONOS'!$B$8:$BC$10012,54,0)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4"/>
        <v>105000</v>
      </c>
      <c r="K4432" t="e">
        <f>VLOOKUP(B4432,'REGISTRO ABONOS'!$B$8:$BC$10012,54,0)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4"/>
        <v>105000</v>
      </c>
      <c r="K4433" t="e">
        <f>VLOOKUP(B4433,'REGISTRO ABONOS'!$B$8:$BC$10012,54,0)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4"/>
        <v>105000</v>
      </c>
      <c r="K4434" t="e">
        <f>VLOOKUP(B4434,'REGISTRO ABONOS'!$B$8:$BC$10012,54,0)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4"/>
        <v>105000</v>
      </c>
      <c r="K4435" t="e">
        <f>VLOOKUP(B4435,'REGISTRO ABONOS'!$B$8:$BC$10012,54,0)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4"/>
        <v>105000</v>
      </c>
      <c r="K4436" t="e">
        <f>VLOOKUP(B4436,'REGISTRO ABONOS'!$B$8:$BC$10012,54,0)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4"/>
        <v>105000</v>
      </c>
      <c r="K4437" t="e">
        <f>VLOOKUP(B4437,'REGISTRO ABONOS'!$B$8:$BC$10012,54,0)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4"/>
        <v>105000</v>
      </c>
      <c r="K4438" t="e">
        <f>VLOOKUP(B4438,'REGISTRO ABONOS'!$B$8:$BC$10012,54,0)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4"/>
        <v>105000</v>
      </c>
      <c r="K4439" t="e">
        <f>VLOOKUP(B4439,'REGISTRO ABONOS'!$B$8:$BC$10012,54,0)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4"/>
        <v>105000</v>
      </c>
      <c r="K4440" t="e">
        <f>VLOOKUP(B4440,'REGISTRO ABONOS'!$B$8:$BC$10012,54,0)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4"/>
        <v>105000</v>
      </c>
      <c r="K4441" t="e">
        <f>VLOOKUP(B4441,'REGISTRO ABONOS'!$B$8:$BC$10012,54,0)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4"/>
        <v>105000</v>
      </c>
      <c r="K4442" t="e">
        <f>VLOOKUP(B4442,'REGISTRO ABONOS'!$B$8:$BC$10012,54,0)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4"/>
        <v>105000</v>
      </c>
      <c r="K4443" t="e">
        <f>VLOOKUP(B4443,'REGISTRO ABONOS'!$B$8:$BC$10012,54,0)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4"/>
        <v>105000</v>
      </c>
      <c r="K4444" t="e">
        <f>VLOOKUP(B4444,'REGISTRO ABONOS'!$B$8:$BC$10012,54,0)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4"/>
        <v>105000</v>
      </c>
      <c r="K4445" t="e">
        <f>VLOOKUP(B4445,'REGISTRO ABONOS'!$B$8:$BC$10012,54,0)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4"/>
        <v>105000</v>
      </c>
      <c r="K4446" t="e">
        <f>VLOOKUP(B4446,'REGISTRO ABONOS'!$B$8:$BC$10012,54,0)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4"/>
        <v>105000</v>
      </c>
      <c r="K4447" t="e">
        <f>VLOOKUP(B4447,'REGISTRO ABONOS'!$B$8:$BC$10012,54,0)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4"/>
        <v>105000</v>
      </c>
      <c r="K4448" t="e">
        <f>VLOOKUP(B4448,'REGISTRO ABONOS'!$B$8:$BC$10012,54,0)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4"/>
        <v>105000</v>
      </c>
      <c r="K4449" t="e">
        <f>VLOOKUP(B4449,'REGISTRO ABONOS'!$B$8:$BC$10012,54,0)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4"/>
        <v>105000</v>
      </c>
      <c r="K4450" t="e">
        <f>VLOOKUP(B4450,'REGISTRO ABONOS'!$B$8:$BC$10012,54,0)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4"/>
        <v>105000</v>
      </c>
      <c r="K4451" t="e">
        <f>VLOOKUP(B4451,'REGISTRO ABONOS'!$B$8:$BC$10012,54,0)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4"/>
        <v>105000</v>
      </c>
      <c r="K4452" t="e">
        <f>VLOOKUP(B4452,'REGISTRO ABONOS'!$B$8:$BC$10012,54,0)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4"/>
        <v>105000</v>
      </c>
      <c r="K4453" t="e">
        <f>VLOOKUP(B4453,'REGISTRO ABONOS'!$B$8:$BC$10012,54,0)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4"/>
        <v>105000</v>
      </c>
      <c r="K4454" t="e">
        <f>VLOOKUP(B4454,'REGISTRO ABONOS'!$B$8:$BC$10012,54,0)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4"/>
        <v>105000</v>
      </c>
      <c r="K4455" t="e">
        <f>VLOOKUP(B4455,'REGISTRO ABONOS'!$B$8:$BC$10012,54,0)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4"/>
        <v>105000</v>
      </c>
      <c r="K4456" t="e">
        <f>VLOOKUP(B4456,'REGISTRO ABONOS'!$B$8:$BC$10012,54,0)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4"/>
        <v>105000</v>
      </c>
      <c r="K4457" t="e">
        <f>VLOOKUP(B4457,'REGISTRO ABONOS'!$B$8:$BC$10012,54,0)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4"/>
        <v>105000</v>
      </c>
      <c r="K4458" t="e">
        <f>VLOOKUP(B4458,'REGISTRO ABONOS'!$B$8:$BC$10012,54,0)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4"/>
        <v>105000</v>
      </c>
      <c r="K4459" t="e">
        <f>VLOOKUP(B4459,'REGISTRO ABONOS'!$B$8:$BC$10012,54,0)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4"/>
        <v>105000</v>
      </c>
      <c r="K4460" t="e">
        <f>VLOOKUP(B4460,'REGISTRO ABONOS'!$B$8:$BC$10012,54,0)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4"/>
        <v>105000</v>
      </c>
      <c r="K4461" t="e">
        <f>VLOOKUP(B4461,'REGISTRO ABONOS'!$B$8:$BC$10012,54,0)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4"/>
        <v>105000</v>
      </c>
      <c r="K4462" t="e">
        <f>VLOOKUP(B4462,'REGISTRO ABONOS'!$B$8:$BC$10012,54,0)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4"/>
        <v>105000</v>
      </c>
      <c r="K4463" t="e">
        <f>VLOOKUP(B4463,'REGISTRO ABONOS'!$B$8:$BC$10012,54,0)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4"/>
        <v>105000</v>
      </c>
      <c r="K4464" t="e">
        <f>VLOOKUP(B4464,'REGISTRO ABONOS'!$B$8:$BC$10012,54,0)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4"/>
        <v>105000</v>
      </c>
      <c r="K4465" t="e">
        <f>VLOOKUP(B4465,'REGISTRO ABONOS'!$B$8:$BC$10012,54,0)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4"/>
        <v>105000</v>
      </c>
      <c r="K4466" t="e">
        <f>VLOOKUP(B4466,'REGISTRO ABONOS'!$B$8:$BC$10012,54,0)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4"/>
        <v>105000</v>
      </c>
      <c r="K4467" t="e">
        <f>VLOOKUP(B4467,'REGISTRO ABONOS'!$B$8:$BC$10012,54,0)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4"/>
        <v>105000</v>
      </c>
      <c r="K4468" t="e">
        <f>VLOOKUP(B4468,'REGISTRO ABONOS'!$B$8:$BC$10012,54,0)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4"/>
        <v>105000</v>
      </c>
      <c r="K4469" t="e">
        <f>VLOOKUP(B4469,'REGISTRO ABONOS'!$B$8:$BC$10012,54,0)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ABONOS'!$B$8:$BC$10012,54,0)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5"/>
        <v>105000</v>
      </c>
      <c r="K4471" t="e">
        <f>VLOOKUP(B4471,'REGISTRO ABONOS'!$B$8:$BC$10012,54,0)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5"/>
        <v>105000</v>
      </c>
      <c r="K4472" t="e">
        <f>VLOOKUP(B4472,'REGISTRO ABONOS'!$B$8:$BC$10012,54,0)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5"/>
        <v>105000</v>
      </c>
      <c r="K4473" t="e">
        <f>VLOOKUP(B4473,'REGISTRO ABONOS'!$B$8:$BC$10012,54,0)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5"/>
        <v>105000</v>
      </c>
      <c r="K4474" t="e">
        <f>VLOOKUP(B4474,'REGISTRO ABONOS'!$B$8:$BC$10012,54,0)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5"/>
        <v>105000</v>
      </c>
      <c r="K4475" t="e">
        <f>VLOOKUP(B4475,'REGISTRO ABONOS'!$B$8:$BC$10012,54,0)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5"/>
        <v>105000</v>
      </c>
      <c r="K4476" t="e">
        <f>VLOOKUP(B4476,'REGISTRO ABONOS'!$B$8:$BC$10012,54,0)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5"/>
        <v>105000</v>
      </c>
      <c r="K4477" t="e">
        <f>VLOOKUP(B4477,'REGISTRO ABONOS'!$B$8:$BC$10012,54,0)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5"/>
        <v>105000</v>
      </c>
      <c r="K4478" t="e">
        <f>VLOOKUP(B4478,'REGISTRO ABONOS'!$B$8:$BC$10012,54,0)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5"/>
        <v>105000</v>
      </c>
      <c r="K4479" t="e">
        <f>VLOOKUP(B4479,'REGISTRO ABONOS'!$B$8:$BC$10012,54,0)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5"/>
        <v>105000</v>
      </c>
      <c r="K4480" t="e">
        <f>VLOOKUP(B4480,'REGISTRO ABONOS'!$B$8:$BC$10012,54,0)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5"/>
        <v>105000</v>
      </c>
      <c r="K4481" t="e">
        <f>VLOOKUP(B4481,'REGISTRO ABONOS'!$B$8:$BC$10012,54,0)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5"/>
        <v>105000</v>
      </c>
      <c r="K4482" t="e">
        <f>VLOOKUP(B4482,'REGISTRO ABONOS'!$B$8:$BC$10012,54,0)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5"/>
        <v>105000</v>
      </c>
      <c r="K4483" t="e">
        <f>VLOOKUP(B4483,'REGISTRO ABONOS'!$B$8:$BC$10012,54,0)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5"/>
        <v>105000</v>
      </c>
      <c r="K4484" t="e">
        <f>VLOOKUP(B4484,'REGISTRO ABONOS'!$B$8:$BC$10012,54,0)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5"/>
        <v>105000</v>
      </c>
      <c r="K4485" t="e">
        <f>VLOOKUP(B4485,'REGISTRO ABONOS'!$B$8:$BC$10012,54,0)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5"/>
        <v>105000</v>
      </c>
      <c r="K4486" t="e">
        <f>VLOOKUP(B4486,'REGISTRO ABONOS'!$B$8:$BC$10012,54,0)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5"/>
        <v>105000</v>
      </c>
      <c r="K4487" t="e">
        <f>VLOOKUP(B4487,'REGISTRO ABONOS'!$B$8:$BC$10012,54,0)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5"/>
        <v>105000</v>
      </c>
      <c r="K4488" t="e">
        <f>VLOOKUP(B4488,'REGISTRO ABONOS'!$B$8:$BC$10012,54,0)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5"/>
        <v>105000</v>
      </c>
      <c r="K4489" t="e">
        <f>VLOOKUP(B4489,'REGISTRO ABONOS'!$B$8:$BC$10012,54,0)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5"/>
        <v>105000</v>
      </c>
      <c r="K4490" t="e">
        <f>VLOOKUP(B4490,'REGISTRO ABONOS'!$B$8:$BC$10012,54,0)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5"/>
        <v>105000</v>
      </c>
      <c r="K4491" t="e">
        <f>VLOOKUP(B4491,'REGISTRO ABONOS'!$B$8:$BC$10012,54,0)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5"/>
        <v>105000</v>
      </c>
      <c r="K4492" t="e">
        <f>VLOOKUP(B4492,'REGISTRO ABONOS'!$B$8:$BC$10012,54,0)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5"/>
        <v>105000</v>
      </c>
      <c r="K4493" t="e">
        <f>VLOOKUP(B4493,'REGISTRO ABONOS'!$B$8:$BC$10012,54,0)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5"/>
        <v>105000</v>
      </c>
      <c r="K4494" t="e">
        <f>VLOOKUP(B4494,'REGISTRO ABONOS'!$B$8:$BC$10012,54,0)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5"/>
        <v>105000</v>
      </c>
      <c r="K4495" t="e">
        <f>VLOOKUP(B4495,'REGISTRO ABONOS'!$B$8:$BC$10012,54,0)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5"/>
        <v>105000</v>
      </c>
      <c r="K4496" t="e">
        <f>VLOOKUP(B4496,'REGISTRO ABONOS'!$B$8:$BC$10012,54,0)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5"/>
        <v>105000</v>
      </c>
      <c r="K4497" t="e">
        <f>VLOOKUP(B4497,'REGISTRO ABONOS'!$B$8:$BC$10012,54,0)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5"/>
        <v>105000</v>
      </c>
      <c r="K4498" t="e">
        <f>VLOOKUP(B4498,'REGISTRO ABONOS'!$B$8:$BC$10012,54,0)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5"/>
        <v>105000</v>
      </c>
      <c r="K4499" t="e">
        <f>VLOOKUP(B4499,'REGISTRO ABONOS'!$B$8:$BC$10012,54,0)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5"/>
        <v>105000</v>
      </c>
      <c r="K4500" t="e">
        <f>VLOOKUP(B4500,'REGISTRO ABONOS'!$B$8:$BC$10012,54,0)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5"/>
        <v>105000</v>
      </c>
      <c r="K4501" t="e">
        <f>VLOOKUP(B4501,'REGISTRO ABONOS'!$B$8:$BC$10012,54,0)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5"/>
        <v>105000</v>
      </c>
      <c r="K4502" t="e">
        <f>VLOOKUP(B4502,'REGISTRO ABONOS'!$B$8:$BC$10012,54,0)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5"/>
        <v>105000</v>
      </c>
      <c r="K4503" t="e">
        <f>VLOOKUP(B4503,'REGISTRO ABONOS'!$B$8:$BC$10012,54,0)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5"/>
        <v>105000</v>
      </c>
      <c r="K4504" t="e">
        <f>VLOOKUP(B4504,'REGISTRO ABONOS'!$B$8:$BC$10012,54,0)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5"/>
        <v>105000</v>
      </c>
      <c r="K4505" t="e">
        <f>VLOOKUP(B4505,'REGISTRO ABONOS'!$B$8:$BC$10012,54,0)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5"/>
        <v>105000</v>
      </c>
      <c r="K4506" t="e">
        <f>VLOOKUP(B4506,'REGISTRO ABONOS'!$B$8:$BC$10012,54,0)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5"/>
        <v>105000</v>
      </c>
      <c r="K4507" t="e">
        <f>VLOOKUP(B4507,'REGISTRO ABONOS'!$B$8:$BC$10012,54,0)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5"/>
        <v>105000</v>
      </c>
      <c r="K4508" t="e">
        <f>VLOOKUP(B4508,'REGISTRO ABONOS'!$B$8:$BC$10012,54,0)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5"/>
        <v>105000</v>
      </c>
      <c r="K4509" t="e">
        <f>VLOOKUP(B4509,'REGISTRO ABONOS'!$B$8:$BC$10012,54,0)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5"/>
        <v>105000</v>
      </c>
      <c r="K4510" t="e">
        <f>VLOOKUP(B4510,'REGISTRO ABONOS'!$B$8:$BC$10012,54,0)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5"/>
        <v>105000</v>
      </c>
      <c r="K4511" t="e">
        <f>VLOOKUP(B4511,'REGISTRO ABONOS'!$B$8:$BC$10012,54,0)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5"/>
        <v>105000</v>
      </c>
      <c r="K4512" t="e">
        <f>VLOOKUP(B4512,'REGISTRO ABONOS'!$B$8:$BC$10012,54,0)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5"/>
        <v>105000</v>
      </c>
      <c r="K4513" t="e">
        <f>VLOOKUP(B4513,'REGISTRO ABONOS'!$B$8:$BC$10012,54,0)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5"/>
        <v>105000</v>
      </c>
      <c r="K4514" t="e">
        <f>VLOOKUP(B4514,'REGISTRO ABONOS'!$B$8:$BC$10012,54,0)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5"/>
        <v>105000</v>
      </c>
      <c r="K4515" t="e">
        <f>VLOOKUP(B4515,'REGISTRO ABONOS'!$B$8:$BC$10012,54,0)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5"/>
        <v>105000</v>
      </c>
      <c r="K4516" t="e">
        <f>VLOOKUP(B4516,'REGISTRO ABONOS'!$B$8:$BC$10012,54,0)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5"/>
        <v>105000</v>
      </c>
      <c r="K4517" t="e">
        <f>VLOOKUP(B4517,'REGISTRO ABONOS'!$B$8:$BC$10012,54,0)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5"/>
        <v>105000</v>
      </c>
      <c r="K4518" t="e">
        <f>VLOOKUP(B4518,'REGISTRO ABONOS'!$B$8:$BC$10012,54,0)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5"/>
        <v>105000</v>
      </c>
      <c r="K4519" t="e">
        <f>VLOOKUP(B4519,'REGISTRO ABONOS'!$B$8:$BC$10012,54,0)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5"/>
        <v>105000</v>
      </c>
      <c r="K4520" t="e">
        <f>VLOOKUP(B4520,'REGISTRO ABONOS'!$B$8:$BC$10012,54,0)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5"/>
        <v>105000</v>
      </c>
      <c r="K4521" t="e">
        <f>VLOOKUP(B4521,'REGISTRO ABONOS'!$B$8:$BC$10012,54,0)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5"/>
        <v>105000</v>
      </c>
      <c r="K4522" t="e">
        <f>VLOOKUP(B4522,'REGISTRO ABONOS'!$B$8:$BC$10012,54,0)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5"/>
        <v>105000</v>
      </c>
      <c r="K4523" t="e">
        <f>VLOOKUP(B4523,'REGISTRO ABONOS'!$B$8:$BC$10012,54,0)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5"/>
        <v>105000</v>
      </c>
      <c r="K4524" t="e">
        <f>VLOOKUP(B4524,'REGISTRO ABONOS'!$B$8:$BC$10012,54,0)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5"/>
        <v>105000</v>
      </c>
      <c r="K4525" t="e">
        <f>VLOOKUP(B4525,'REGISTRO ABONOS'!$B$8:$BC$10012,54,0)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5"/>
        <v>105000</v>
      </c>
      <c r="K4526" t="e">
        <f>VLOOKUP(B4526,'REGISTRO ABONOS'!$B$8:$BC$10012,54,0)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5"/>
        <v>105000</v>
      </c>
      <c r="K4527" t="e">
        <f>VLOOKUP(B4527,'REGISTRO ABONOS'!$B$8:$BC$10012,54,0)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5"/>
        <v>105000</v>
      </c>
      <c r="K4528" t="e">
        <f>VLOOKUP(B4528,'REGISTRO ABONOS'!$B$8:$BC$10012,54,0)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5"/>
        <v>105000</v>
      </c>
      <c r="K4529" t="e">
        <f>VLOOKUP(B4529,'REGISTRO ABONOS'!$B$8:$BC$10012,54,0)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5"/>
        <v>105000</v>
      </c>
      <c r="K4530" t="e">
        <f>VLOOKUP(B4530,'REGISTRO ABONOS'!$B$8:$BC$10012,54,0)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5"/>
        <v>105000</v>
      </c>
      <c r="K4531" t="e">
        <f>VLOOKUP(B4531,'REGISTRO ABONOS'!$B$8:$BC$10012,54,0)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5"/>
        <v>105000</v>
      </c>
      <c r="K4532" t="e">
        <f>VLOOKUP(B4532,'REGISTRO ABONOS'!$B$8:$BC$10012,54,0)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5"/>
        <v>105000</v>
      </c>
      <c r="K4533" t="e">
        <f>VLOOKUP(B4533,'REGISTRO ABONOS'!$B$8:$BC$10012,54,0)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ABONOS'!$B$8:$BC$10012,54,0)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6"/>
        <v>105000</v>
      </c>
      <c r="K4535" t="e">
        <f>VLOOKUP(B4535,'REGISTRO ABONOS'!$B$8:$BC$10012,54,0)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J4536">
        <f t="shared" si="76"/>
        <v>105000</v>
      </c>
      <c r="K4536" t="e">
        <f>VLOOKUP(B4536,'REGISTRO ABONOS'!$B$8:$BC$10012,54,0)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6"/>
        <v>105000</v>
      </c>
      <c r="K4537" t="e">
        <f>VLOOKUP(B4537,'REGISTRO ABONOS'!$B$8:$BC$10012,54,0)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6"/>
        <v>105000</v>
      </c>
      <c r="K4538" t="e">
        <f>VLOOKUP(B4538,'REGISTRO ABONOS'!$B$8:$BC$10012,54,0)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6"/>
        <v>105000</v>
      </c>
      <c r="K4539" t="e">
        <f>VLOOKUP(B4539,'REGISTRO ABONOS'!$B$8:$BC$10012,54,0)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6"/>
        <v>105000</v>
      </c>
      <c r="K4540" t="e">
        <f>VLOOKUP(B4540,'REGISTRO ABONOS'!$B$8:$BC$10012,54,0)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6"/>
        <v>105000</v>
      </c>
      <c r="K4541" t="e">
        <f>VLOOKUP(B4541,'REGISTRO ABONOS'!$B$8:$BC$10012,54,0)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6"/>
        <v>105000</v>
      </c>
      <c r="K4542" t="e">
        <f>VLOOKUP(B4542,'REGISTRO ABONOS'!$B$8:$BC$10012,54,0)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6"/>
        <v>105000</v>
      </c>
      <c r="K4543" t="e">
        <f>VLOOKUP(B4543,'REGISTRO ABONOS'!$B$8:$BC$10012,54,0)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6"/>
        <v>105000</v>
      </c>
      <c r="K4544" t="e">
        <f>VLOOKUP(B4544,'REGISTRO ABONOS'!$B$8:$BC$10012,54,0)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6"/>
        <v>105000</v>
      </c>
      <c r="K4545" t="e">
        <f>VLOOKUP(B4545,'REGISTRO ABONOS'!$B$8:$BC$10012,54,0)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6"/>
        <v>105000</v>
      </c>
      <c r="K4546" t="e">
        <f>VLOOKUP(B4546,'REGISTRO ABONOS'!$B$8:$BC$10012,54,0)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6"/>
        <v>105000</v>
      </c>
      <c r="K4547" t="e">
        <f>VLOOKUP(B4547,'REGISTRO ABONOS'!$B$8:$BC$10012,54,0)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6"/>
        <v>105000</v>
      </c>
      <c r="K4548" t="e">
        <f>VLOOKUP(B4548,'REGISTRO ABONOS'!$B$8:$BC$10012,54,0)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6"/>
        <v>105000</v>
      </c>
      <c r="K4549" t="e">
        <f>VLOOKUP(B4549,'REGISTRO ABONOS'!$B$8:$BC$10012,54,0)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6"/>
        <v>105000</v>
      </c>
      <c r="K4550" t="e">
        <f>VLOOKUP(B4550,'REGISTRO ABONOS'!$B$8:$BC$10012,54,0)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6"/>
        <v>105000</v>
      </c>
      <c r="K4551" t="e">
        <f>VLOOKUP(B4551,'REGISTRO ABONOS'!$B$8:$BC$10012,54,0)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6"/>
        <v>105000</v>
      </c>
      <c r="K4552" t="e">
        <f>VLOOKUP(B4552,'REGISTRO ABONOS'!$B$8:$BC$10012,54,0)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6"/>
        <v>105000</v>
      </c>
      <c r="K4553" t="e">
        <f>VLOOKUP(B4553,'REGISTRO ABONOS'!$B$8:$BC$10012,54,0)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6"/>
        <v>105000</v>
      </c>
      <c r="K4554" t="e">
        <f>VLOOKUP(B4554,'REGISTRO ABONOS'!$B$8:$BC$10012,54,0)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6"/>
        <v>105000</v>
      </c>
      <c r="K4555" t="e">
        <f>VLOOKUP(B4555,'REGISTRO ABONOS'!$B$8:$BC$10012,54,0)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6"/>
        <v>105000</v>
      </c>
      <c r="K4556" t="e">
        <f>VLOOKUP(B4556,'REGISTRO ABONOS'!$B$8:$BC$10012,54,0)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6"/>
        <v>105000</v>
      </c>
      <c r="K4557" t="e">
        <f>VLOOKUP(B4557,'REGISTRO ABONOS'!$B$8:$BC$10012,54,0)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6"/>
        <v>105000</v>
      </c>
      <c r="K4558" t="e">
        <f>VLOOKUP(B4558,'REGISTRO ABONOS'!$B$8:$BC$10012,54,0)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6"/>
        <v>105000</v>
      </c>
      <c r="K4559" t="e">
        <f>VLOOKUP(B4559,'REGISTRO ABONOS'!$B$8:$BC$10012,54,0)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6"/>
        <v>105000</v>
      </c>
      <c r="K4560" t="e">
        <f>VLOOKUP(B4560,'REGISTRO ABONOS'!$B$8:$BC$10012,54,0)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6"/>
        <v>105000</v>
      </c>
      <c r="K4561" t="e">
        <f>VLOOKUP(B4561,'REGISTRO ABONOS'!$B$8:$BC$10012,54,0)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6"/>
        <v>105000</v>
      </c>
      <c r="K4562" t="e">
        <f>VLOOKUP(B4562,'REGISTRO ABONOS'!$B$8:$BC$10012,54,0)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6"/>
        <v>105000</v>
      </c>
      <c r="K4563" t="e">
        <f>VLOOKUP(B4563,'REGISTRO ABONOS'!$B$8:$BC$10012,54,0)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6"/>
        <v>105000</v>
      </c>
      <c r="K4564" t="e">
        <f>VLOOKUP(B4564,'REGISTRO ABONOS'!$B$8:$BC$10012,54,0)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6"/>
        <v>105000</v>
      </c>
      <c r="K4565" t="e">
        <f>VLOOKUP(B4565,'REGISTRO ABONOS'!$B$8:$BC$10012,54,0)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6"/>
        <v>105000</v>
      </c>
      <c r="K4566" t="e">
        <f>VLOOKUP(B4566,'REGISTRO ABONOS'!$B$8:$BC$10012,54,0)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6"/>
        <v>105000</v>
      </c>
      <c r="K4567" t="e">
        <f>VLOOKUP(B4567,'REGISTRO ABONOS'!$B$8:$BC$10012,54,0)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6"/>
        <v>105000</v>
      </c>
      <c r="K4568" t="e">
        <f>VLOOKUP(B4568,'REGISTRO ABONOS'!$B$8:$BC$10012,54,0)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6"/>
        <v>105000</v>
      </c>
      <c r="K4569" t="e">
        <f>VLOOKUP(B4569,'REGISTRO ABONOS'!$B$8:$BC$10012,54,0)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6"/>
        <v>105000</v>
      </c>
      <c r="K4570" t="e">
        <f>VLOOKUP(B4570,'REGISTRO ABONOS'!$B$8:$BC$10012,54,0)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6"/>
        <v>105000</v>
      </c>
      <c r="K4571" t="e">
        <f>VLOOKUP(B4571,'REGISTRO ABONOS'!$B$8:$BC$10012,54,0)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6"/>
        <v>105000</v>
      </c>
      <c r="K4572" t="e">
        <f>VLOOKUP(B4572,'REGISTRO ABONOS'!$B$8:$BC$10012,54,0)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6"/>
        <v>105000</v>
      </c>
      <c r="K4573" t="e">
        <f>VLOOKUP(B4573,'REGISTRO ABONOS'!$B$8:$BC$10012,54,0)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6"/>
        <v>105000</v>
      </c>
      <c r="K4574" t="e">
        <f>VLOOKUP(B4574,'REGISTRO ABONOS'!$B$8:$BC$10012,54,0)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6"/>
        <v>105000</v>
      </c>
      <c r="K4575" t="e">
        <f>VLOOKUP(B4575,'REGISTRO ABONOS'!$B$8:$BC$10012,54,0)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6"/>
        <v>105000</v>
      </c>
      <c r="K4576" t="e">
        <f>VLOOKUP(B4576,'REGISTRO ABONOS'!$B$8:$BC$10012,54,0)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6"/>
        <v>105000</v>
      </c>
      <c r="K4577" t="e">
        <f>VLOOKUP(B4577,'REGISTRO ABONOS'!$B$8:$BC$10012,54,0)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6"/>
        <v>105000</v>
      </c>
      <c r="K4578" t="e">
        <f>VLOOKUP(B4578,'REGISTRO ABONOS'!$B$8:$BC$10012,54,0)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6"/>
        <v>105000</v>
      </c>
      <c r="K4579" t="e">
        <f>VLOOKUP(B4579,'REGISTRO ABONOS'!$B$8:$BC$10012,54,0)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6"/>
        <v>105000</v>
      </c>
      <c r="K4580" t="e">
        <f>VLOOKUP(B4580,'REGISTRO ABONOS'!$B$8:$BC$10012,54,0)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6"/>
        <v>105000</v>
      </c>
      <c r="K4581" t="e">
        <f>VLOOKUP(B4581,'REGISTRO ABONOS'!$B$8:$BC$10012,54,0)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6"/>
        <v>105000</v>
      </c>
      <c r="K4582" t="e">
        <f>VLOOKUP(B4582,'REGISTRO ABONOS'!$B$8:$BC$10012,54,0)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6"/>
        <v>105000</v>
      </c>
      <c r="K4583" t="e">
        <f>VLOOKUP(B4583,'REGISTRO ABONOS'!$B$8:$BC$10012,54,0)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6"/>
        <v>105000</v>
      </c>
      <c r="K4584" t="e">
        <f>VLOOKUP(B4584,'REGISTRO ABONOS'!$B$8:$BC$10012,54,0)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6"/>
        <v>105000</v>
      </c>
      <c r="K4585" t="e">
        <f>VLOOKUP(B4585,'REGISTRO ABONOS'!$B$8:$BC$10012,54,0)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6"/>
        <v>105000</v>
      </c>
      <c r="K4586" t="e">
        <f>VLOOKUP(B4586,'REGISTRO ABONOS'!$B$8:$BC$10012,54,0)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6"/>
        <v>105000</v>
      </c>
      <c r="K4587" t="e">
        <f>VLOOKUP(B4587,'REGISTRO ABONOS'!$B$8:$BC$10012,54,0)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6"/>
        <v>105000</v>
      </c>
      <c r="K4588" t="e">
        <f>VLOOKUP(B4588,'REGISTRO ABONOS'!$B$8:$BC$10012,54,0)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6"/>
        <v>105000</v>
      </c>
      <c r="K4589" t="e">
        <f>VLOOKUP(B4589,'REGISTRO ABONOS'!$B$8:$BC$10012,54,0)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6"/>
        <v>105000</v>
      </c>
      <c r="K4590" t="e">
        <f>VLOOKUP(B4590,'REGISTRO ABONOS'!$B$8:$BC$10012,54,0)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6"/>
        <v>105000</v>
      </c>
      <c r="K4591" t="e">
        <f>VLOOKUP(B4591,'REGISTRO ABONOS'!$B$8:$BC$10012,54,0)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6"/>
        <v>105000</v>
      </c>
      <c r="K4592" t="e">
        <f>VLOOKUP(B4592,'REGISTRO ABONOS'!$B$8:$BC$10012,54,0)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6"/>
        <v>105000</v>
      </c>
      <c r="K4593" t="e">
        <f>VLOOKUP(B4593,'REGISTRO ABONOS'!$B$8:$BC$10012,54,0)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6"/>
        <v>105000</v>
      </c>
      <c r="K4594" t="e">
        <f>VLOOKUP(B4594,'REGISTRO ABONOS'!$B$8:$BC$10012,54,0)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6"/>
        <v>105000</v>
      </c>
      <c r="K4595" t="e">
        <f>VLOOKUP(B4595,'REGISTRO ABONOS'!$B$8:$BC$10012,54,0)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6"/>
        <v>105000</v>
      </c>
      <c r="K4596" t="e">
        <f>VLOOKUP(B4596,'REGISTRO ABONOS'!$B$8:$BC$10012,54,0)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6"/>
        <v>105000</v>
      </c>
      <c r="K4597" t="e">
        <f>VLOOKUP(B4597,'REGISTRO ABONOS'!$B$8:$BC$10012,54,0)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ABONOS'!$B$8:$BC$10012,54,0)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7"/>
        <v>105000</v>
      </c>
      <c r="K4599" t="e">
        <f>VLOOKUP(B4599,'REGISTRO ABONOS'!$B$8:$BC$10012,54,0)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7"/>
        <v>105000</v>
      </c>
      <c r="K4600" t="e">
        <f>VLOOKUP(B4600,'REGISTRO ABONOS'!$B$8:$BC$10012,54,0)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7"/>
        <v>105000</v>
      </c>
      <c r="K4601" t="e">
        <f>VLOOKUP(B4601,'REGISTRO ABONOS'!$B$8:$BC$10012,54,0)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7"/>
        <v>105000</v>
      </c>
      <c r="K4602" t="e">
        <f>VLOOKUP(B4602,'REGISTRO ABONOS'!$B$8:$BC$10012,54,0)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7"/>
        <v>105000</v>
      </c>
      <c r="K4603" t="e">
        <f>VLOOKUP(B4603,'REGISTRO ABONOS'!$B$8:$BC$10012,54,0)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7"/>
        <v>105000</v>
      </c>
      <c r="K4604" t="e">
        <f>VLOOKUP(B4604,'REGISTRO ABONOS'!$B$8:$BC$10012,54,0)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7"/>
        <v>105000</v>
      </c>
      <c r="K4605" t="e">
        <f>VLOOKUP(B4605,'REGISTRO ABONOS'!$B$8:$BC$10012,54,0)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7"/>
        <v>105000</v>
      </c>
      <c r="K4606" t="e">
        <f>VLOOKUP(B4606,'REGISTRO ABONOS'!$B$8:$BC$10012,54,0)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7"/>
        <v>105000</v>
      </c>
      <c r="K4607" t="e">
        <f>VLOOKUP(B4607,'REGISTRO ABONOS'!$B$8:$BC$10012,54,0)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7"/>
        <v>105000</v>
      </c>
      <c r="K4608" t="e">
        <f>VLOOKUP(B4608,'REGISTRO ABONOS'!$B$8:$BC$10012,54,0)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7"/>
        <v>105000</v>
      </c>
      <c r="K4609" t="e">
        <f>VLOOKUP(B4609,'REGISTRO ABONOS'!$B$8:$BC$10012,54,0)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7"/>
        <v>105000</v>
      </c>
      <c r="K4610" t="e">
        <f>VLOOKUP(B4610,'REGISTRO ABONOS'!$B$8:$BC$10012,54,0)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7"/>
        <v>105000</v>
      </c>
      <c r="K4611" t="e">
        <f>VLOOKUP(B4611,'REGISTRO ABONOS'!$B$8:$BC$10012,54,0)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7"/>
        <v>105000</v>
      </c>
      <c r="K4612" t="e">
        <f>VLOOKUP(B4612,'REGISTRO ABONOS'!$B$8:$BC$10012,54,0)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7"/>
        <v>105000</v>
      </c>
      <c r="K4613" t="e">
        <f>VLOOKUP(B4613,'REGISTRO ABONOS'!$B$8:$BC$10012,54,0)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7"/>
        <v>105000</v>
      </c>
      <c r="K4614" t="e">
        <f>VLOOKUP(B4614,'REGISTRO ABONOS'!$B$8:$BC$10012,54,0)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7"/>
        <v>105000</v>
      </c>
      <c r="K4615" t="e">
        <f>VLOOKUP(B4615,'REGISTRO ABONOS'!$B$8:$BC$10012,54,0)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7"/>
        <v>105000</v>
      </c>
      <c r="K4616" t="e">
        <f>VLOOKUP(B4616,'REGISTRO ABONOS'!$B$8:$BC$10012,54,0)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7"/>
        <v>105000</v>
      </c>
      <c r="K4617" t="e">
        <f>VLOOKUP(B4617,'REGISTRO ABONOS'!$B$8:$BC$10012,54,0)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7"/>
        <v>105000</v>
      </c>
      <c r="K4618" t="e">
        <f>VLOOKUP(B4618,'REGISTRO ABONOS'!$B$8:$BC$10012,54,0)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J4619">
        <f t="shared" si="77"/>
        <v>105000</v>
      </c>
      <c r="K4619" t="e">
        <f>VLOOKUP(B4619,'REGISTRO ABONOS'!$B$8:$BC$10012,54,0)</f>
        <v>#N/A</v>
      </c>
      <c r="L4619" t="e">
        <f>IF(Tabla26[[#This Row],[VALOR RESTANTE]]&lt;Tabla26[[#This Row],[VALOR]],"NO DISPONIBLE","DISPONIBLE")</f>
        <v>#N/A</v>
      </c>
      <c r="M4619" s="9">
        <f>COUNTIF(Tabla26[[#This Row],[VALOR RESTANTE]],0)</f>
        <v>0</v>
      </c>
    </row>
    <row r="4620" spans="2:13" x14ac:dyDescent="0.2">
      <c r="B4620" s="31">
        <v>4611</v>
      </c>
      <c r="J4620">
        <f t="shared" si="77"/>
        <v>105000</v>
      </c>
      <c r="K4620" t="e">
        <f>VLOOKUP(B4620,'REGISTRO ABONOS'!$B$8:$BC$10012,54,0)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7"/>
        <v>105000</v>
      </c>
      <c r="K4621" t="e">
        <f>VLOOKUP(B4621,'REGISTRO ABONOS'!$B$8:$BC$10012,54,0)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7"/>
        <v>105000</v>
      </c>
      <c r="K4622" t="e">
        <f>VLOOKUP(B4622,'REGISTRO ABONOS'!$B$8:$BC$10012,54,0)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7"/>
        <v>105000</v>
      </c>
      <c r="K4623" t="e">
        <f>VLOOKUP(B4623,'REGISTRO ABONOS'!$B$8:$BC$10012,54,0)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7"/>
        <v>105000</v>
      </c>
      <c r="K4624" t="e">
        <f>VLOOKUP(B4624,'REGISTRO ABONOS'!$B$8:$BC$10012,54,0)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7"/>
        <v>105000</v>
      </c>
      <c r="K4625" t="e">
        <f>VLOOKUP(B4625,'REGISTRO ABONOS'!$B$8:$BC$10012,54,0)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7"/>
        <v>105000</v>
      </c>
      <c r="K4626" t="e">
        <f>VLOOKUP(B4626,'REGISTRO ABONOS'!$B$8:$BC$10012,54,0)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7"/>
        <v>105000</v>
      </c>
      <c r="K4627" t="e">
        <f>VLOOKUP(B4627,'REGISTRO ABONOS'!$B$8:$BC$10012,54,0)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7"/>
        <v>105000</v>
      </c>
      <c r="K4628" t="e">
        <f>VLOOKUP(B4628,'REGISTRO ABONOS'!$B$8:$BC$10012,54,0)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7"/>
        <v>105000</v>
      </c>
      <c r="K4629" t="e">
        <f>VLOOKUP(B4629,'REGISTRO ABONOS'!$B$8:$BC$10012,54,0)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7"/>
        <v>105000</v>
      </c>
      <c r="K4630" t="e">
        <f>VLOOKUP(B4630,'REGISTRO ABONOS'!$B$8:$BC$10012,54,0)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7"/>
        <v>105000</v>
      </c>
      <c r="K4631" t="e">
        <f>VLOOKUP(B4631,'REGISTRO ABONOS'!$B$8:$BC$10012,54,0)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7"/>
        <v>105000</v>
      </c>
      <c r="K4632" t="e">
        <f>VLOOKUP(B4632,'REGISTRO ABONOS'!$B$8:$BC$10012,54,0)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7"/>
        <v>105000</v>
      </c>
      <c r="K4633" t="e">
        <f>VLOOKUP(B4633,'REGISTRO ABONOS'!$B$8:$BC$10012,54,0)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7"/>
        <v>105000</v>
      </c>
      <c r="K4634" t="e">
        <f>VLOOKUP(B4634,'REGISTRO ABONOS'!$B$8:$BC$10012,54,0)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7"/>
        <v>105000</v>
      </c>
      <c r="K4635" t="e">
        <f>VLOOKUP(B4635,'REGISTRO ABONOS'!$B$8:$BC$10012,54,0)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7"/>
        <v>105000</v>
      </c>
      <c r="K4636" t="e">
        <f>VLOOKUP(B4636,'REGISTRO ABONOS'!$B$8:$BC$10012,54,0)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7"/>
        <v>105000</v>
      </c>
      <c r="K4637" t="e">
        <f>VLOOKUP(B4637,'REGISTRO ABONOS'!$B$8:$BC$10012,54,0)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7"/>
        <v>105000</v>
      </c>
      <c r="K4638" t="e">
        <f>VLOOKUP(B4638,'REGISTRO ABONOS'!$B$8:$BC$10012,54,0)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7"/>
        <v>105000</v>
      </c>
      <c r="K4639" t="e">
        <f>VLOOKUP(B4639,'REGISTRO ABONOS'!$B$8:$BC$10012,54,0)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7"/>
        <v>105000</v>
      </c>
      <c r="K4640" t="e">
        <f>VLOOKUP(B4640,'REGISTRO ABONOS'!$B$8:$BC$10012,54,0)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7"/>
        <v>105000</v>
      </c>
      <c r="K4641" t="e">
        <f>VLOOKUP(B4641,'REGISTRO ABONOS'!$B$8:$BC$10012,54,0)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7"/>
        <v>105000</v>
      </c>
      <c r="K4642" t="e">
        <f>VLOOKUP(B4642,'REGISTRO ABONOS'!$B$8:$BC$10012,54,0)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7"/>
        <v>105000</v>
      </c>
      <c r="K4643" t="e">
        <f>VLOOKUP(B4643,'REGISTRO ABONOS'!$B$8:$BC$10012,54,0)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7"/>
        <v>105000</v>
      </c>
      <c r="K4644" t="e">
        <f>VLOOKUP(B4644,'REGISTRO ABONOS'!$B$8:$BC$10012,54,0)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7"/>
        <v>105000</v>
      </c>
      <c r="K4645" t="e">
        <f>VLOOKUP(B4645,'REGISTRO ABONOS'!$B$8:$BC$10012,54,0)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7"/>
        <v>105000</v>
      </c>
      <c r="K4646" t="e">
        <f>VLOOKUP(B4646,'REGISTRO ABONOS'!$B$8:$BC$10012,54,0)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7"/>
        <v>105000</v>
      </c>
      <c r="K4647" t="e">
        <f>VLOOKUP(B4647,'REGISTRO ABONOS'!$B$8:$BC$10012,54,0)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7"/>
        <v>105000</v>
      </c>
      <c r="K4648" t="e">
        <f>VLOOKUP(B4648,'REGISTRO ABONOS'!$B$8:$BC$10012,54,0)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7"/>
        <v>105000</v>
      </c>
      <c r="K4649" t="e">
        <f>VLOOKUP(B4649,'REGISTRO ABONOS'!$B$8:$BC$10012,54,0)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7"/>
        <v>105000</v>
      </c>
      <c r="K4650" t="e">
        <f>VLOOKUP(B4650,'REGISTRO ABONOS'!$B$8:$BC$10012,54,0)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7"/>
        <v>105000</v>
      </c>
      <c r="K4651" t="e">
        <f>VLOOKUP(B4651,'REGISTRO ABONOS'!$B$8:$BC$10012,54,0)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7"/>
        <v>105000</v>
      </c>
      <c r="K4652" t="e">
        <f>VLOOKUP(B4652,'REGISTRO ABONOS'!$B$8:$BC$10012,54,0)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7"/>
        <v>105000</v>
      </c>
      <c r="K4653" t="e">
        <f>VLOOKUP(B4653,'REGISTRO ABONOS'!$B$8:$BC$10012,54,0)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7"/>
        <v>105000</v>
      </c>
      <c r="K4654" t="e">
        <f>VLOOKUP(B4654,'REGISTRO ABONOS'!$B$8:$BC$10012,54,0)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7"/>
        <v>105000</v>
      </c>
      <c r="K4655" t="e">
        <f>VLOOKUP(B4655,'REGISTRO ABONOS'!$B$8:$BC$10012,54,0)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7"/>
        <v>105000</v>
      </c>
      <c r="K4656" t="e">
        <f>VLOOKUP(B4656,'REGISTRO ABONOS'!$B$8:$BC$10012,54,0)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7"/>
        <v>105000</v>
      </c>
      <c r="K4657" t="e">
        <f>VLOOKUP(B4657,'REGISTRO ABONOS'!$B$8:$BC$10012,54,0)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7"/>
        <v>105000</v>
      </c>
      <c r="K4658" t="e">
        <f>VLOOKUP(B4658,'REGISTRO ABONOS'!$B$8:$BC$10012,54,0)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7"/>
        <v>105000</v>
      </c>
      <c r="K4659" t="e">
        <f>VLOOKUP(B4659,'REGISTRO ABONOS'!$B$8:$BC$10012,54,0)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7"/>
        <v>105000</v>
      </c>
      <c r="K4660" t="e">
        <f>VLOOKUP(B4660,'REGISTRO ABONOS'!$B$8:$BC$10012,54,0)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7"/>
        <v>105000</v>
      </c>
      <c r="K4661" t="e">
        <f>VLOOKUP(B4661,'REGISTRO ABONOS'!$B$8:$BC$10012,54,0)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ABONOS'!$B$8:$BC$10012,54,0)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8"/>
        <v>105000</v>
      </c>
      <c r="K4663" t="e">
        <f>VLOOKUP(B4663,'REGISTRO ABONOS'!$B$8:$BC$10012,54,0)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8"/>
        <v>105000</v>
      </c>
      <c r="K4664" t="e">
        <f>VLOOKUP(B4664,'REGISTRO ABONOS'!$B$8:$BC$10012,54,0)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8"/>
        <v>105000</v>
      </c>
      <c r="K4665" t="e">
        <f>VLOOKUP(B4665,'REGISTRO ABONOS'!$B$8:$BC$10012,54,0)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8"/>
        <v>105000</v>
      </c>
      <c r="K4666" t="e">
        <f>VLOOKUP(B4666,'REGISTRO ABONOS'!$B$8:$BC$10012,54,0)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8"/>
        <v>105000</v>
      </c>
      <c r="K4667" t="e">
        <f>VLOOKUP(B4667,'REGISTRO ABONOS'!$B$8:$BC$10012,54,0)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8"/>
        <v>105000</v>
      </c>
      <c r="K4668" t="e">
        <f>VLOOKUP(B4668,'REGISTRO ABONOS'!$B$8:$BC$10012,54,0)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8"/>
        <v>105000</v>
      </c>
      <c r="K4669" t="e">
        <f>VLOOKUP(B4669,'REGISTRO ABONOS'!$B$8:$BC$10012,54,0)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8"/>
        <v>105000</v>
      </c>
      <c r="K4670" t="e">
        <f>VLOOKUP(B4670,'REGISTRO ABONOS'!$B$8:$BC$10012,54,0)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8"/>
        <v>105000</v>
      </c>
      <c r="K4671" t="e">
        <f>VLOOKUP(B4671,'REGISTRO ABONOS'!$B$8:$BC$10012,54,0)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8"/>
        <v>105000</v>
      </c>
      <c r="K4672" t="e">
        <f>VLOOKUP(B4672,'REGISTRO ABONOS'!$B$8:$BC$10012,54,0)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8"/>
        <v>105000</v>
      </c>
      <c r="K4673" t="e">
        <f>VLOOKUP(B4673,'REGISTRO ABONOS'!$B$8:$BC$10012,54,0)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8"/>
        <v>105000</v>
      </c>
      <c r="K4674" t="e">
        <f>VLOOKUP(B4674,'REGISTRO ABONOS'!$B$8:$BC$10012,54,0)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8"/>
        <v>105000</v>
      </c>
      <c r="K4675" t="e">
        <f>VLOOKUP(B4675,'REGISTRO ABONOS'!$B$8:$BC$10012,54,0)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8"/>
        <v>105000</v>
      </c>
      <c r="K4676" t="e">
        <f>VLOOKUP(B4676,'REGISTRO ABONOS'!$B$8:$BC$10012,54,0)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8"/>
        <v>105000</v>
      </c>
      <c r="K4677" t="e">
        <f>VLOOKUP(B4677,'REGISTRO ABONOS'!$B$8:$BC$10012,54,0)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8"/>
        <v>105000</v>
      </c>
      <c r="K4678" t="e">
        <f>VLOOKUP(B4678,'REGISTRO ABONOS'!$B$8:$BC$10012,54,0)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8"/>
        <v>105000</v>
      </c>
      <c r="K4679" t="e">
        <f>VLOOKUP(B4679,'REGISTRO ABONOS'!$B$8:$BC$10012,54,0)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8"/>
        <v>105000</v>
      </c>
      <c r="K4680" t="e">
        <f>VLOOKUP(B4680,'REGISTRO ABONOS'!$B$8:$BC$10012,54,0)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8"/>
        <v>105000</v>
      </c>
      <c r="K4681" t="e">
        <f>VLOOKUP(B4681,'REGISTRO ABONOS'!$B$8:$BC$10012,54,0)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8"/>
        <v>105000</v>
      </c>
      <c r="K4682" t="e">
        <f>VLOOKUP(B4682,'REGISTRO ABONOS'!$B$8:$BC$10012,54,0)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8"/>
        <v>105000</v>
      </c>
      <c r="K4683" t="e">
        <f>VLOOKUP(B4683,'REGISTRO ABONOS'!$B$8:$BC$10012,54,0)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8"/>
        <v>105000</v>
      </c>
      <c r="K4684" t="e">
        <f>VLOOKUP(B4684,'REGISTRO ABONOS'!$B$8:$BC$10012,54,0)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8"/>
        <v>105000</v>
      </c>
      <c r="K4685" t="e">
        <f>VLOOKUP(B4685,'REGISTRO ABONOS'!$B$8:$BC$10012,54,0)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8"/>
        <v>105000</v>
      </c>
      <c r="K4686" t="e">
        <f>VLOOKUP(B4686,'REGISTRO ABONOS'!$B$8:$BC$10012,54,0)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8"/>
        <v>105000</v>
      </c>
      <c r="K4687" t="e">
        <f>VLOOKUP(B4687,'REGISTRO ABONOS'!$B$8:$BC$10012,54,0)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8"/>
        <v>105000</v>
      </c>
      <c r="K4688" t="e">
        <f>VLOOKUP(B4688,'REGISTRO ABONOS'!$B$8:$BC$10012,54,0)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8"/>
        <v>105000</v>
      </c>
      <c r="K4689" t="e">
        <f>VLOOKUP(B4689,'REGISTRO ABONOS'!$B$8:$BC$10012,54,0)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8"/>
        <v>105000</v>
      </c>
      <c r="K4690" t="e">
        <f>VLOOKUP(B4690,'REGISTRO ABONOS'!$B$8:$BC$10012,54,0)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8"/>
        <v>105000</v>
      </c>
      <c r="K4691" t="e">
        <f>VLOOKUP(B4691,'REGISTRO ABONOS'!$B$8:$BC$10012,54,0)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8"/>
        <v>105000</v>
      </c>
      <c r="K4692" t="e">
        <f>VLOOKUP(B4692,'REGISTRO ABONOS'!$B$8:$BC$10012,54,0)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8"/>
        <v>105000</v>
      </c>
      <c r="K4693" t="e">
        <f>VLOOKUP(B4693,'REGISTRO ABONOS'!$B$8:$BC$10012,54,0)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8"/>
        <v>105000</v>
      </c>
      <c r="K4694" t="e">
        <f>VLOOKUP(B4694,'REGISTRO ABONOS'!$B$8:$BC$10012,54,0)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8"/>
        <v>105000</v>
      </c>
      <c r="K4695" t="e">
        <f>VLOOKUP(B4695,'REGISTRO ABONOS'!$B$8:$BC$10012,54,0)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8"/>
        <v>105000</v>
      </c>
      <c r="K4696" t="e">
        <f>VLOOKUP(B4696,'REGISTRO ABONOS'!$B$8:$BC$10012,54,0)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8"/>
        <v>105000</v>
      </c>
      <c r="K4697" t="e">
        <f>VLOOKUP(B4697,'REGISTRO ABONOS'!$B$8:$BC$10012,54,0)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8"/>
        <v>105000</v>
      </c>
      <c r="K4698" t="e">
        <f>VLOOKUP(B4698,'REGISTRO ABONOS'!$B$8:$BC$10012,54,0)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8"/>
        <v>105000</v>
      </c>
      <c r="K4699" t="e">
        <f>VLOOKUP(B4699,'REGISTRO ABONOS'!$B$8:$BC$10012,54,0)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8"/>
        <v>105000</v>
      </c>
      <c r="K4700" t="e">
        <f>VLOOKUP(B4700,'REGISTRO ABONOS'!$B$8:$BC$10012,54,0)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8"/>
        <v>105000</v>
      </c>
      <c r="K4701" t="e">
        <f>VLOOKUP(B4701,'REGISTRO ABONOS'!$B$8:$BC$10012,54,0)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8"/>
        <v>105000</v>
      </c>
      <c r="K4702" t="e">
        <f>VLOOKUP(B4702,'REGISTRO ABONOS'!$B$8:$BC$10012,54,0)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8"/>
        <v>105000</v>
      </c>
      <c r="K4703" t="e">
        <f>VLOOKUP(B4703,'REGISTRO ABONOS'!$B$8:$BC$10012,54,0)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8"/>
        <v>105000</v>
      </c>
      <c r="K4704" t="e">
        <f>VLOOKUP(B4704,'REGISTRO ABONOS'!$B$8:$BC$10012,54,0)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8"/>
        <v>105000</v>
      </c>
      <c r="K4705" t="e">
        <f>VLOOKUP(B4705,'REGISTRO ABONOS'!$B$8:$BC$10012,54,0)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8"/>
        <v>105000</v>
      </c>
      <c r="K4706" t="e">
        <f>VLOOKUP(B4706,'REGISTRO ABONOS'!$B$8:$BC$10012,54,0)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8"/>
        <v>105000</v>
      </c>
      <c r="K4707" t="e">
        <f>VLOOKUP(B4707,'REGISTRO ABONOS'!$B$8:$BC$10012,54,0)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8"/>
        <v>105000</v>
      </c>
      <c r="K4708" t="e">
        <f>VLOOKUP(B4708,'REGISTRO ABONOS'!$B$8:$BC$10012,54,0)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8"/>
        <v>105000</v>
      </c>
      <c r="K4709" t="e">
        <f>VLOOKUP(B4709,'REGISTRO ABONOS'!$B$8:$BC$10012,54,0)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8"/>
        <v>105000</v>
      </c>
      <c r="K4710" t="e">
        <f>VLOOKUP(B4710,'REGISTRO ABONOS'!$B$8:$BC$10012,54,0)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8"/>
        <v>105000</v>
      </c>
      <c r="K4711" t="e">
        <f>VLOOKUP(B4711,'REGISTRO ABONOS'!$B$8:$BC$10012,54,0)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8"/>
        <v>105000</v>
      </c>
      <c r="K4712" t="e">
        <f>VLOOKUP(B4712,'REGISTRO ABONOS'!$B$8:$BC$10012,54,0)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8"/>
        <v>105000</v>
      </c>
      <c r="K4713" t="e">
        <f>VLOOKUP(B4713,'REGISTRO ABONOS'!$B$8:$BC$10012,54,0)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8"/>
        <v>105000</v>
      </c>
      <c r="K4714" t="e">
        <f>VLOOKUP(B4714,'REGISTRO ABONOS'!$B$8:$BC$10012,54,0)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8"/>
        <v>105000</v>
      </c>
      <c r="K4715" t="e">
        <f>VLOOKUP(B4715,'REGISTRO ABONOS'!$B$8:$BC$10012,54,0)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8"/>
        <v>105000</v>
      </c>
      <c r="K4716" t="e">
        <f>VLOOKUP(B4716,'REGISTRO ABONOS'!$B$8:$BC$10012,54,0)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8"/>
        <v>105000</v>
      </c>
      <c r="K4717" t="e">
        <f>VLOOKUP(B4717,'REGISTRO ABONOS'!$B$8:$BC$10012,54,0)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8"/>
        <v>105000</v>
      </c>
      <c r="K4718" t="e">
        <f>VLOOKUP(B4718,'REGISTRO ABONOS'!$B$8:$BC$10012,54,0)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8"/>
        <v>105000</v>
      </c>
      <c r="K4719" t="e">
        <f>VLOOKUP(B4719,'REGISTRO ABONOS'!$B$8:$BC$10012,54,0)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8"/>
        <v>105000</v>
      </c>
      <c r="K4720" t="e">
        <f>VLOOKUP(B4720,'REGISTRO ABONOS'!$B$8:$BC$10012,54,0)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8"/>
        <v>105000</v>
      </c>
      <c r="K4721" t="e">
        <f>VLOOKUP(B4721,'REGISTRO ABONOS'!$B$8:$BC$10012,54,0)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8"/>
        <v>105000</v>
      </c>
      <c r="K4722" t="e">
        <f>VLOOKUP(B4722,'REGISTRO ABONOS'!$B$8:$BC$10012,54,0)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8"/>
        <v>105000</v>
      </c>
      <c r="K4723" t="e">
        <f>VLOOKUP(B4723,'REGISTRO ABONOS'!$B$8:$BC$10012,54,0)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8"/>
        <v>105000</v>
      </c>
      <c r="K4724" t="e">
        <f>VLOOKUP(B4724,'REGISTRO ABONOS'!$B$8:$BC$10012,54,0)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8"/>
        <v>105000</v>
      </c>
      <c r="K4725" t="e">
        <f>VLOOKUP(B4725,'REGISTRO ABONOS'!$B$8:$BC$10012,54,0)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ABONOS'!$B$8:$BC$10012,54,0)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9"/>
        <v>105000</v>
      </c>
      <c r="K4727" t="e">
        <f>VLOOKUP(B4727,'REGISTRO ABONOS'!$B$8:$BC$10012,54,0)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9"/>
        <v>105000</v>
      </c>
      <c r="K4728" t="e">
        <f>VLOOKUP(B4728,'REGISTRO ABONOS'!$B$8:$BC$10012,54,0)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9"/>
        <v>105000</v>
      </c>
      <c r="K4729" t="e">
        <f>VLOOKUP(B4729,'REGISTRO ABONOS'!$B$8:$BC$10012,54,0)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9"/>
        <v>105000</v>
      </c>
      <c r="K4730" t="e">
        <f>VLOOKUP(B4730,'REGISTRO ABONOS'!$B$8:$BC$10012,54,0)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9"/>
        <v>105000</v>
      </c>
      <c r="K4731" t="e">
        <f>VLOOKUP(B4731,'REGISTRO ABONOS'!$B$8:$BC$10012,54,0)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9"/>
        <v>105000</v>
      </c>
      <c r="K4732" t="e">
        <f>VLOOKUP(B4732,'REGISTRO ABONOS'!$B$8:$BC$10012,54,0)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9"/>
        <v>105000</v>
      </c>
      <c r="K4733" t="e">
        <f>VLOOKUP(B4733,'REGISTRO ABONOS'!$B$8:$BC$10012,54,0)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9"/>
        <v>105000</v>
      </c>
      <c r="K4734" t="e">
        <f>VLOOKUP(B4734,'REGISTRO ABONOS'!$B$8:$BC$10012,54,0)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9"/>
        <v>105000</v>
      </c>
      <c r="K4735" t="e">
        <f>VLOOKUP(B4735,'REGISTRO ABONOS'!$B$8:$BC$10012,54,0)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9"/>
        <v>105000</v>
      </c>
      <c r="K4736" t="e">
        <f>VLOOKUP(B4736,'REGISTRO ABONOS'!$B$8:$BC$10012,54,0)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9"/>
        <v>105000</v>
      </c>
      <c r="K4737" t="e">
        <f>VLOOKUP(B4737,'REGISTRO ABONOS'!$B$8:$BC$10012,54,0)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9"/>
        <v>105000</v>
      </c>
      <c r="K4738" t="e">
        <f>VLOOKUP(B4738,'REGISTRO ABONOS'!$B$8:$BC$10012,54,0)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9"/>
        <v>105000</v>
      </c>
      <c r="K4739" t="e">
        <f>VLOOKUP(B4739,'REGISTRO ABONOS'!$B$8:$BC$10012,54,0)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9"/>
        <v>105000</v>
      </c>
      <c r="K4740" t="e">
        <f>VLOOKUP(B4740,'REGISTRO ABONOS'!$B$8:$BC$10012,54,0)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9"/>
        <v>105000</v>
      </c>
      <c r="K4741" t="e">
        <f>VLOOKUP(B4741,'REGISTRO ABONOS'!$B$8:$BC$10012,54,0)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9"/>
        <v>105000</v>
      </c>
      <c r="K4742" t="e">
        <f>VLOOKUP(B4742,'REGISTRO ABONOS'!$B$8:$BC$10012,54,0)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9"/>
        <v>105000</v>
      </c>
      <c r="K4743" t="e">
        <f>VLOOKUP(B4743,'REGISTRO ABONOS'!$B$8:$BC$10012,54,0)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9"/>
        <v>105000</v>
      </c>
      <c r="K4744" t="e">
        <f>VLOOKUP(B4744,'REGISTRO ABONOS'!$B$8:$BC$10012,54,0)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9"/>
        <v>105000</v>
      </c>
      <c r="K4745" t="e">
        <f>VLOOKUP(B4745,'REGISTRO ABONOS'!$B$8:$BC$10012,54,0)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9"/>
        <v>105000</v>
      </c>
      <c r="K4746" t="e">
        <f>VLOOKUP(B4746,'REGISTRO ABONOS'!$B$8:$BC$10012,54,0)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9"/>
        <v>105000</v>
      </c>
      <c r="K4747" t="e">
        <f>VLOOKUP(B4747,'REGISTRO ABONOS'!$B$8:$BC$10012,54,0)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9"/>
        <v>105000</v>
      </c>
      <c r="K4748" t="e">
        <f>VLOOKUP(B4748,'REGISTRO ABONOS'!$B$8:$BC$10012,54,0)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9"/>
        <v>105000</v>
      </c>
      <c r="K4749" t="e">
        <f>VLOOKUP(B4749,'REGISTRO ABONOS'!$B$8:$BC$10012,54,0)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9"/>
        <v>105000</v>
      </c>
      <c r="K4750" t="e">
        <f>VLOOKUP(B4750,'REGISTRO ABONOS'!$B$8:$BC$10012,54,0)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9"/>
        <v>105000</v>
      </c>
      <c r="K4751" t="e">
        <f>VLOOKUP(B4751,'REGISTRO ABONOS'!$B$8:$BC$10012,54,0)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9"/>
        <v>105000</v>
      </c>
      <c r="K4752" t="e">
        <f>VLOOKUP(B4752,'REGISTRO ABONOS'!$B$8:$BC$10012,54,0)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9"/>
        <v>105000</v>
      </c>
      <c r="K4753" t="e">
        <f>VLOOKUP(B4753,'REGISTRO ABONOS'!$B$8:$BC$10012,54,0)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9"/>
        <v>105000</v>
      </c>
      <c r="K4754" t="e">
        <f>VLOOKUP(B4754,'REGISTRO ABONOS'!$B$8:$BC$10012,54,0)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9"/>
        <v>105000</v>
      </c>
      <c r="K4755" t="e">
        <f>VLOOKUP(B4755,'REGISTRO ABONOS'!$B$8:$BC$10012,54,0)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9"/>
        <v>105000</v>
      </c>
      <c r="K4756" t="e">
        <f>VLOOKUP(B4756,'REGISTRO ABONOS'!$B$8:$BC$10012,54,0)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9"/>
        <v>105000</v>
      </c>
      <c r="K4757" t="e">
        <f>VLOOKUP(B4757,'REGISTRO ABONOS'!$B$8:$BC$10012,54,0)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9"/>
        <v>105000</v>
      </c>
      <c r="K4758" t="e">
        <f>VLOOKUP(B4758,'REGISTRO ABONOS'!$B$8:$BC$10012,54,0)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9"/>
        <v>105000</v>
      </c>
      <c r="K4759" t="e">
        <f>VLOOKUP(B4759,'REGISTRO ABONOS'!$B$8:$BC$10012,54,0)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9"/>
        <v>105000</v>
      </c>
      <c r="K4760" t="e">
        <f>VLOOKUP(B4760,'REGISTRO ABONOS'!$B$8:$BC$10012,54,0)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9"/>
        <v>105000</v>
      </c>
      <c r="K4761" t="e">
        <f>VLOOKUP(B4761,'REGISTRO ABONOS'!$B$8:$BC$10012,54,0)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9"/>
        <v>105000</v>
      </c>
      <c r="K4762" t="e">
        <f>VLOOKUP(B4762,'REGISTRO ABONOS'!$B$8:$BC$10012,54,0)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9"/>
        <v>105000</v>
      </c>
      <c r="K4763" t="e">
        <f>VLOOKUP(B4763,'REGISTRO ABONOS'!$B$8:$BC$10012,54,0)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9"/>
        <v>105000</v>
      </c>
      <c r="K4764" t="e">
        <f>VLOOKUP(B4764,'REGISTRO ABONOS'!$B$8:$BC$10012,54,0)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9"/>
        <v>105000</v>
      </c>
      <c r="K4765" t="e">
        <f>VLOOKUP(B4765,'REGISTRO ABONOS'!$B$8:$BC$10012,54,0)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J4766">
        <f t="shared" si="79"/>
        <v>105000</v>
      </c>
      <c r="K4766" t="e">
        <f>VLOOKUP(B4766,'REGISTRO ABONOS'!$B$8:$BC$10012,54,0)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9"/>
        <v>105000</v>
      </c>
      <c r="K4767" t="e">
        <f>VLOOKUP(B4767,'REGISTRO ABONOS'!$B$8:$BC$10012,54,0)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9"/>
        <v>105000</v>
      </c>
      <c r="K4768" t="e">
        <f>VLOOKUP(B4768,'REGISTRO ABONOS'!$B$8:$BC$10012,54,0)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9"/>
        <v>105000</v>
      </c>
      <c r="K4769" t="e">
        <f>VLOOKUP(B4769,'REGISTRO ABONOS'!$B$8:$BC$10012,54,0)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9"/>
        <v>105000</v>
      </c>
      <c r="K4770" t="e">
        <f>VLOOKUP(B4770,'REGISTRO ABONOS'!$B$8:$BC$10012,54,0)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9"/>
        <v>105000</v>
      </c>
      <c r="K4771" t="e">
        <f>VLOOKUP(B4771,'REGISTRO ABONOS'!$B$8:$BC$10012,54,0)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9"/>
        <v>105000</v>
      </c>
      <c r="K4772" t="e">
        <f>VLOOKUP(B4772,'REGISTRO ABONOS'!$B$8:$BC$10012,54,0)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9"/>
        <v>105000</v>
      </c>
      <c r="K4773" t="e">
        <f>VLOOKUP(B4773,'REGISTRO ABONOS'!$B$8:$BC$10012,54,0)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9"/>
        <v>105000</v>
      </c>
      <c r="K4774" t="e">
        <f>VLOOKUP(B4774,'REGISTRO ABONOS'!$B$8:$BC$10012,54,0)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9"/>
        <v>105000</v>
      </c>
      <c r="K4775" t="e">
        <f>VLOOKUP(B4775,'REGISTRO ABONOS'!$B$8:$BC$10012,54,0)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9"/>
        <v>105000</v>
      </c>
      <c r="K4776" t="e">
        <f>VLOOKUP(B4776,'REGISTRO ABONOS'!$B$8:$BC$10012,54,0)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9"/>
        <v>105000</v>
      </c>
      <c r="K4777" t="e">
        <f>VLOOKUP(B4777,'REGISTRO ABONOS'!$B$8:$BC$10012,54,0)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9"/>
        <v>105000</v>
      </c>
      <c r="K4778" t="e">
        <f>VLOOKUP(B4778,'REGISTRO ABONOS'!$B$8:$BC$10012,54,0)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9"/>
        <v>105000</v>
      </c>
      <c r="K4779" t="e">
        <f>VLOOKUP(B4779,'REGISTRO ABONOS'!$B$8:$BC$10012,54,0)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9"/>
        <v>105000</v>
      </c>
      <c r="K4780" t="e">
        <f>VLOOKUP(B4780,'REGISTRO ABONOS'!$B$8:$BC$10012,54,0)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9"/>
        <v>105000</v>
      </c>
      <c r="K4781" t="e">
        <f>VLOOKUP(B4781,'REGISTRO ABONOS'!$B$8:$BC$10012,54,0)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9"/>
        <v>105000</v>
      </c>
      <c r="K4782" t="e">
        <f>VLOOKUP(B4782,'REGISTRO ABONOS'!$B$8:$BC$10012,54,0)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9"/>
        <v>105000</v>
      </c>
      <c r="K4783" t="e">
        <f>VLOOKUP(B4783,'REGISTRO ABONOS'!$B$8:$BC$10012,54,0)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9"/>
        <v>105000</v>
      </c>
      <c r="K4784" t="e">
        <f>VLOOKUP(B4784,'REGISTRO ABONOS'!$B$8:$BC$10012,54,0)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9"/>
        <v>105000</v>
      </c>
      <c r="K4785" t="e">
        <f>VLOOKUP(B4785,'REGISTRO ABONOS'!$B$8:$BC$10012,54,0)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9"/>
        <v>105000</v>
      </c>
      <c r="K4786" t="e">
        <f>VLOOKUP(B4786,'REGISTRO ABONOS'!$B$8:$BC$10012,54,0)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9"/>
        <v>105000</v>
      </c>
      <c r="K4787" t="e">
        <f>VLOOKUP(B4787,'REGISTRO ABONOS'!$B$8:$BC$10012,54,0)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9"/>
        <v>105000</v>
      </c>
      <c r="K4788" t="e">
        <f>VLOOKUP(B4788,'REGISTRO ABONOS'!$B$8:$BC$10012,54,0)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9"/>
        <v>105000</v>
      </c>
      <c r="K4789" t="e">
        <f>VLOOKUP(B4789,'REGISTRO ABONOS'!$B$8:$BC$10012,54,0)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ABONOS'!$B$8:$BC$10012,54,0)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80"/>
        <v>105000</v>
      </c>
      <c r="K4791" t="e">
        <f>VLOOKUP(B4791,'REGISTRO ABONOS'!$B$8:$BC$10012,54,0)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80"/>
        <v>105000</v>
      </c>
      <c r="K4792" t="e">
        <f>VLOOKUP(B4792,'REGISTRO ABONOS'!$B$8:$BC$10012,54,0)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80"/>
        <v>105000</v>
      </c>
      <c r="K4793" t="e">
        <f>VLOOKUP(B4793,'REGISTRO ABONOS'!$B$8:$BC$10012,54,0)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80"/>
        <v>105000</v>
      </c>
      <c r="K4794" t="e">
        <f>VLOOKUP(B4794,'REGISTRO ABONOS'!$B$8:$BC$10012,54,0)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80"/>
        <v>105000</v>
      </c>
      <c r="K4795" t="e">
        <f>VLOOKUP(B4795,'REGISTRO ABONOS'!$B$8:$BC$10012,54,0)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80"/>
        <v>105000</v>
      </c>
      <c r="K4796" t="e">
        <f>VLOOKUP(B4796,'REGISTRO ABONOS'!$B$8:$BC$10012,54,0)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80"/>
        <v>105000</v>
      </c>
      <c r="K4797" t="e">
        <f>VLOOKUP(B4797,'REGISTRO ABONOS'!$B$8:$BC$10012,54,0)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80"/>
        <v>105000</v>
      </c>
      <c r="K4798" t="e">
        <f>VLOOKUP(B4798,'REGISTRO ABONOS'!$B$8:$BC$10012,54,0)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80"/>
        <v>105000</v>
      </c>
      <c r="K4799" t="e">
        <f>VLOOKUP(B4799,'REGISTRO ABONOS'!$B$8:$BC$10012,54,0)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80"/>
        <v>105000</v>
      </c>
      <c r="K4800" t="e">
        <f>VLOOKUP(B4800,'REGISTRO ABONOS'!$B$8:$BC$10012,54,0)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80"/>
        <v>105000</v>
      </c>
      <c r="K4801" t="e">
        <f>VLOOKUP(B4801,'REGISTRO ABONOS'!$B$8:$BC$10012,54,0)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80"/>
        <v>105000</v>
      </c>
      <c r="K4802" t="e">
        <f>VLOOKUP(B4802,'REGISTRO ABONOS'!$B$8:$BC$10012,54,0)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80"/>
        <v>105000</v>
      </c>
      <c r="K4803" t="e">
        <f>VLOOKUP(B4803,'REGISTRO ABONOS'!$B$8:$BC$10012,54,0)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80"/>
        <v>105000</v>
      </c>
      <c r="K4804" t="e">
        <f>VLOOKUP(B4804,'REGISTRO ABONOS'!$B$8:$BC$10012,54,0)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80"/>
        <v>105000</v>
      </c>
      <c r="K4805" t="e">
        <f>VLOOKUP(B4805,'REGISTRO ABONOS'!$B$8:$BC$10012,54,0)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80"/>
        <v>105000</v>
      </c>
      <c r="K4806" t="e">
        <f>VLOOKUP(B4806,'REGISTRO ABONOS'!$B$8:$BC$10012,54,0)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80"/>
        <v>105000</v>
      </c>
      <c r="K4807" t="e">
        <f>VLOOKUP(B4807,'REGISTRO ABONOS'!$B$8:$BC$10012,54,0)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80"/>
        <v>105000</v>
      </c>
      <c r="K4808" t="e">
        <f>VLOOKUP(B4808,'REGISTRO ABONOS'!$B$8:$BC$10012,54,0)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80"/>
        <v>105000</v>
      </c>
      <c r="K4809" t="e">
        <f>VLOOKUP(B4809,'REGISTRO ABONOS'!$B$8:$BC$10012,54,0)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80"/>
        <v>105000</v>
      </c>
      <c r="K4810" t="e">
        <f>VLOOKUP(B4810,'REGISTRO ABONOS'!$B$8:$BC$10012,54,0)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80"/>
        <v>105000</v>
      </c>
      <c r="K4811" t="e">
        <f>VLOOKUP(B4811,'REGISTRO ABONOS'!$B$8:$BC$10012,54,0)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80"/>
        <v>105000</v>
      </c>
      <c r="K4812" t="e">
        <f>VLOOKUP(B4812,'REGISTRO ABONOS'!$B$8:$BC$10012,54,0)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80"/>
        <v>105000</v>
      </c>
      <c r="K4813" t="e">
        <f>VLOOKUP(B4813,'REGISTRO ABONOS'!$B$8:$BC$10012,54,0)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80"/>
        <v>105000</v>
      </c>
      <c r="K4814" t="e">
        <f>VLOOKUP(B4814,'REGISTRO ABONOS'!$B$8:$BC$10012,54,0)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80"/>
        <v>105000</v>
      </c>
      <c r="K4815" t="e">
        <f>VLOOKUP(B4815,'REGISTRO ABONOS'!$B$8:$BC$10012,54,0)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80"/>
        <v>105000</v>
      </c>
      <c r="K4816" t="e">
        <f>VLOOKUP(B4816,'REGISTRO ABONOS'!$B$8:$BC$10012,54,0)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80"/>
        <v>105000</v>
      </c>
      <c r="K4817" t="e">
        <f>VLOOKUP(B4817,'REGISTRO ABONOS'!$B$8:$BC$10012,54,0)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80"/>
        <v>105000</v>
      </c>
      <c r="K4818" t="e">
        <f>VLOOKUP(B4818,'REGISTRO ABONOS'!$B$8:$BC$10012,54,0)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80"/>
        <v>105000</v>
      </c>
      <c r="K4819" t="e">
        <f>VLOOKUP(B4819,'REGISTRO ABONOS'!$B$8:$BC$10012,54,0)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80"/>
        <v>105000</v>
      </c>
      <c r="K4820" t="e">
        <f>VLOOKUP(B4820,'REGISTRO ABONOS'!$B$8:$BC$10012,54,0)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80"/>
        <v>105000</v>
      </c>
      <c r="K4821" t="e">
        <f>VLOOKUP(B4821,'REGISTRO ABONOS'!$B$8:$BC$10012,54,0)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80"/>
        <v>105000</v>
      </c>
      <c r="K4822" t="e">
        <f>VLOOKUP(B4822,'REGISTRO ABONOS'!$B$8:$BC$10012,54,0)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80"/>
        <v>105000</v>
      </c>
      <c r="K4823" t="e">
        <f>VLOOKUP(B4823,'REGISTRO ABONOS'!$B$8:$BC$10012,54,0)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80"/>
        <v>105000</v>
      </c>
      <c r="K4824" t="e">
        <f>VLOOKUP(B4824,'REGISTRO ABONOS'!$B$8:$BC$10012,54,0)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80"/>
        <v>105000</v>
      </c>
      <c r="K4825" t="e">
        <f>VLOOKUP(B4825,'REGISTRO ABONOS'!$B$8:$BC$10012,54,0)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J4826">
        <f t="shared" si="80"/>
        <v>105000</v>
      </c>
      <c r="K4826" t="e">
        <f>VLOOKUP(B4826,'REGISTRO ABONOS'!$B$8:$BC$10012,54,0)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80"/>
        <v>105000</v>
      </c>
      <c r="K4827" t="e">
        <f>VLOOKUP(B4827,'REGISTRO ABONOS'!$B$8:$BC$10012,54,0)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80"/>
        <v>105000</v>
      </c>
      <c r="K4828" t="e">
        <f>VLOOKUP(B4828,'REGISTRO ABONOS'!$B$8:$BC$10012,54,0)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80"/>
        <v>105000</v>
      </c>
      <c r="K4829" t="e">
        <f>VLOOKUP(B4829,'REGISTRO ABONOS'!$B$8:$BC$10012,54,0)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80"/>
        <v>105000</v>
      </c>
      <c r="K4830" t="e">
        <f>VLOOKUP(B4830,'REGISTRO ABONOS'!$B$8:$BC$10012,54,0)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80"/>
        <v>105000</v>
      </c>
      <c r="K4831" t="e">
        <f>VLOOKUP(B4831,'REGISTRO ABONOS'!$B$8:$BC$10012,54,0)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80"/>
        <v>105000</v>
      </c>
      <c r="K4832" t="e">
        <f>VLOOKUP(B4832,'REGISTRO ABONOS'!$B$8:$BC$10012,54,0)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80"/>
        <v>105000</v>
      </c>
      <c r="K4833" t="e">
        <f>VLOOKUP(B4833,'REGISTRO ABONOS'!$B$8:$BC$10012,54,0)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80"/>
        <v>105000</v>
      </c>
      <c r="K4834" t="e">
        <f>VLOOKUP(B4834,'REGISTRO ABONOS'!$B$8:$BC$10012,54,0)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80"/>
        <v>105000</v>
      </c>
      <c r="K4835" t="e">
        <f>VLOOKUP(B4835,'REGISTRO ABONOS'!$B$8:$BC$10012,54,0)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80"/>
        <v>105000</v>
      </c>
      <c r="K4836" t="e">
        <f>VLOOKUP(B4836,'REGISTRO ABONOS'!$B$8:$BC$10012,54,0)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80"/>
        <v>105000</v>
      </c>
      <c r="K4837" t="e">
        <f>VLOOKUP(B4837,'REGISTRO ABONOS'!$B$8:$BC$10012,54,0)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80"/>
        <v>105000</v>
      </c>
      <c r="K4838" t="e">
        <f>VLOOKUP(B4838,'REGISTRO ABONOS'!$B$8:$BC$10012,54,0)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80"/>
        <v>105000</v>
      </c>
      <c r="K4839" t="e">
        <f>VLOOKUP(B4839,'REGISTRO ABONOS'!$B$8:$BC$10012,54,0)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80"/>
        <v>105000</v>
      </c>
      <c r="K4840" t="e">
        <f>VLOOKUP(B4840,'REGISTRO ABONOS'!$B$8:$BC$10012,54,0)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80"/>
        <v>105000</v>
      </c>
      <c r="K4841" t="e">
        <f>VLOOKUP(B4841,'REGISTRO ABONOS'!$B$8:$BC$10012,54,0)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80"/>
        <v>105000</v>
      </c>
      <c r="K4842" t="e">
        <f>VLOOKUP(B4842,'REGISTRO ABONOS'!$B$8:$BC$10012,54,0)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80"/>
        <v>105000</v>
      </c>
      <c r="K4843" t="e">
        <f>VLOOKUP(B4843,'REGISTRO ABONOS'!$B$8:$BC$10012,54,0)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80"/>
        <v>105000</v>
      </c>
      <c r="K4844" t="e">
        <f>VLOOKUP(B4844,'REGISTRO ABONOS'!$B$8:$BC$10012,54,0)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80"/>
        <v>105000</v>
      </c>
      <c r="K4845" t="e">
        <f>VLOOKUP(B4845,'REGISTRO ABONOS'!$B$8:$BC$10012,54,0)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80"/>
        <v>105000</v>
      </c>
      <c r="K4846" t="e">
        <f>VLOOKUP(B4846,'REGISTRO ABONOS'!$B$8:$BC$10012,54,0)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80"/>
        <v>105000</v>
      </c>
      <c r="K4847" t="e">
        <f>VLOOKUP(B4847,'REGISTRO ABONOS'!$B$8:$BC$10012,54,0)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80"/>
        <v>105000</v>
      </c>
      <c r="K4848" t="e">
        <f>VLOOKUP(B4848,'REGISTRO ABONOS'!$B$8:$BC$10012,54,0)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80"/>
        <v>105000</v>
      </c>
      <c r="K4849" t="e">
        <f>VLOOKUP(B4849,'REGISTRO ABONOS'!$B$8:$BC$10012,54,0)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80"/>
        <v>105000</v>
      </c>
      <c r="K4850" t="e">
        <f>VLOOKUP(B4850,'REGISTRO ABONOS'!$B$8:$BC$10012,54,0)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80"/>
        <v>105000</v>
      </c>
      <c r="K4851" t="e">
        <f>VLOOKUP(B4851,'REGISTRO ABONOS'!$B$8:$BC$10012,54,0)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80"/>
        <v>105000</v>
      </c>
      <c r="K4852" t="e">
        <f>VLOOKUP(B4852,'REGISTRO ABONOS'!$B$8:$BC$10012,54,0)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80"/>
        <v>105000</v>
      </c>
      <c r="K4853" t="e">
        <f>VLOOKUP(B4853,'REGISTRO ABONOS'!$B$8:$BC$10012,54,0)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ABONOS'!$B$8:$BC$10012,54,0)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1"/>
        <v>105000</v>
      </c>
      <c r="K4855" t="e">
        <f>VLOOKUP(B4855,'REGISTRO ABONOS'!$B$8:$BC$10012,54,0)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1"/>
        <v>105000</v>
      </c>
      <c r="K4856" t="e">
        <f>VLOOKUP(B4856,'REGISTRO ABONOS'!$B$8:$BC$10012,54,0)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1"/>
        <v>105000</v>
      </c>
      <c r="K4857" t="e">
        <f>VLOOKUP(B4857,'REGISTRO ABONOS'!$B$8:$BC$10012,54,0)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1"/>
        <v>105000</v>
      </c>
      <c r="K4858" t="e">
        <f>VLOOKUP(B4858,'REGISTRO ABONOS'!$B$8:$BC$10012,54,0)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1"/>
        <v>105000</v>
      </c>
      <c r="K4859" t="e">
        <f>VLOOKUP(B4859,'REGISTRO ABONOS'!$B$8:$BC$10012,54,0)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1"/>
        <v>105000</v>
      </c>
      <c r="K4860" t="e">
        <f>VLOOKUP(B4860,'REGISTRO ABONOS'!$B$8:$BC$10012,54,0)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J4861">
        <f t="shared" si="81"/>
        <v>105000</v>
      </c>
      <c r="K4861" t="e">
        <f>VLOOKUP(B4861,'REGISTRO ABONOS'!$B$8:$BC$10012,54,0)</f>
        <v>#N/A</v>
      </c>
      <c r="L4861" t="e">
        <f>IF(Tabla26[[#This Row],[VALOR RESTANTE]]&lt;Tabla26[[#This Row],[VALOR]],"NO DISPONIBLE","DISPONIBLE")</f>
        <v>#N/A</v>
      </c>
      <c r="M4861" s="9">
        <f>COUNTIF(Tabla26[[#This Row],[VALOR RESTANTE]],0)</f>
        <v>0</v>
      </c>
    </row>
    <row r="4862" spans="2:13" x14ac:dyDescent="0.2">
      <c r="B4862" s="31">
        <v>4853</v>
      </c>
      <c r="J4862">
        <f t="shared" si="81"/>
        <v>105000</v>
      </c>
      <c r="K4862" t="e">
        <f>VLOOKUP(B4862,'REGISTRO ABONOS'!$B$8:$BC$10012,54,0)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1"/>
        <v>105000</v>
      </c>
      <c r="K4863" t="e">
        <f>VLOOKUP(B4863,'REGISTRO ABONOS'!$B$8:$BC$10012,54,0)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1"/>
        <v>105000</v>
      </c>
      <c r="K4864" t="e">
        <f>VLOOKUP(B4864,'REGISTRO ABONOS'!$B$8:$BC$10012,54,0)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1"/>
        <v>105000</v>
      </c>
      <c r="K4865" t="e">
        <f>VLOOKUP(B4865,'REGISTRO ABONOS'!$B$8:$BC$10012,54,0)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1"/>
        <v>105000</v>
      </c>
      <c r="K4866" t="e">
        <f>VLOOKUP(B4866,'REGISTRO ABONOS'!$B$8:$BC$10012,54,0)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1"/>
        <v>105000</v>
      </c>
      <c r="K4867" t="e">
        <f>VLOOKUP(B4867,'REGISTRO ABONOS'!$B$8:$BC$10012,54,0)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1"/>
        <v>105000</v>
      </c>
      <c r="K4868" t="e">
        <f>VLOOKUP(B4868,'REGISTRO ABONOS'!$B$8:$BC$10012,54,0)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1"/>
        <v>105000</v>
      </c>
      <c r="K4869" t="e">
        <f>VLOOKUP(B4869,'REGISTRO ABONOS'!$B$8:$BC$10012,54,0)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1"/>
        <v>105000</v>
      </c>
      <c r="K4870" t="e">
        <f>VLOOKUP(B4870,'REGISTRO ABONOS'!$B$8:$BC$10012,54,0)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1"/>
        <v>105000</v>
      </c>
      <c r="K4871" t="e">
        <f>VLOOKUP(B4871,'REGISTRO ABONOS'!$B$8:$BC$10012,54,0)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1"/>
        <v>105000</v>
      </c>
      <c r="K4872" t="e">
        <f>VLOOKUP(B4872,'REGISTRO ABONOS'!$B$8:$BC$10012,54,0)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1"/>
        <v>105000</v>
      </c>
      <c r="K4873" t="e">
        <f>VLOOKUP(B4873,'REGISTRO ABONOS'!$B$8:$BC$10012,54,0)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1"/>
        <v>105000</v>
      </c>
      <c r="K4874" t="e">
        <f>VLOOKUP(B4874,'REGISTRO ABONOS'!$B$8:$BC$10012,54,0)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1"/>
        <v>105000</v>
      </c>
      <c r="K4875" t="e">
        <f>VLOOKUP(B4875,'REGISTRO ABONOS'!$B$8:$BC$10012,54,0)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1"/>
        <v>105000</v>
      </c>
      <c r="K4876" t="e">
        <f>VLOOKUP(B4876,'REGISTRO ABONOS'!$B$8:$BC$10012,54,0)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1"/>
        <v>105000</v>
      </c>
      <c r="K4877" t="e">
        <f>VLOOKUP(B4877,'REGISTRO ABONOS'!$B$8:$BC$10012,54,0)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1"/>
        <v>105000</v>
      </c>
      <c r="K4878" t="e">
        <f>VLOOKUP(B4878,'REGISTRO ABONOS'!$B$8:$BC$10012,54,0)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1"/>
        <v>105000</v>
      </c>
      <c r="K4879" t="e">
        <f>VLOOKUP(B4879,'REGISTRO ABONOS'!$B$8:$BC$10012,54,0)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1"/>
        <v>105000</v>
      </c>
      <c r="K4880" t="e">
        <f>VLOOKUP(B4880,'REGISTRO ABONOS'!$B$8:$BC$10012,54,0)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1"/>
        <v>105000</v>
      </c>
      <c r="K4881" t="e">
        <f>VLOOKUP(B4881,'REGISTRO ABONOS'!$B$8:$BC$10012,54,0)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1"/>
        <v>105000</v>
      </c>
      <c r="K4882" t="e">
        <f>VLOOKUP(B4882,'REGISTRO ABONOS'!$B$8:$BC$10012,54,0)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1"/>
        <v>105000</v>
      </c>
      <c r="K4883" t="e">
        <f>VLOOKUP(B4883,'REGISTRO ABONOS'!$B$8:$BC$10012,54,0)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1"/>
        <v>105000</v>
      </c>
      <c r="K4884" t="e">
        <f>VLOOKUP(B4884,'REGISTRO ABONOS'!$B$8:$BC$10012,54,0)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1"/>
        <v>105000</v>
      </c>
      <c r="K4885" t="e">
        <f>VLOOKUP(B4885,'REGISTRO ABONOS'!$B$8:$BC$10012,54,0)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1"/>
        <v>105000</v>
      </c>
      <c r="K4886" t="e">
        <f>VLOOKUP(B4886,'REGISTRO ABONOS'!$B$8:$BC$10012,54,0)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1"/>
        <v>105000</v>
      </c>
      <c r="K4887" t="e">
        <f>VLOOKUP(B4887,'REGISTRO ABONOS'!$B$8:$BC$10012,54,0)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1"/>
        <v>105000</v>
      </c>
      <c r="K4888" t="e">
        <f>VLOOKUP(B4888,'REGISTRO ABONOS'!$B$8:$BC$10012,54,0)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1"/>
        <v>105000</v>
      </c>
      <c r="K4889" t="e">
        <f>VLOOKUP(B4889,'REGISTRO ABONOS'!$B$8:$BC$10012,54,0)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1"/>
        <v>105000</v>
      </c>
      <c r="K4890" t="e">
        <f>VLOOKUP(B4890,'REGISTRO ABONOS'!$B$8:$BC$10012,54,0)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1"/>
        <v>105000</v>
      </c>
      <c r="K4891" t="e">
        <f>VLOOKUP(B4891,'REGISTRO ABONOS'!$B$8:$BC$10012,54,0)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1"/>
        <v>105000</v>
      </c>
      <c r="K4892" t="e">
        <f>VLOOKUP(B4892,'REGISTRO ABONOS'!$B$8:$BC$10012,54,0)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1"/>
        <v>105000</v>
      </c>
      <c r="K4893" t="e">
        <f>VLOOKUP(B4893,'REGISTRO ABONOS'!$B$8:$BC$10012,54,0)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1"/>
        <v>105000</v>
      </c>
      <c r="K4894" t="e">
        <f>VLOOKUP(B4894,'REGISTRO ABONOS'!$B$8:$BC$10012,54,0)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1"/>
        <v>105000</v>
      </c>
      <c r="K4895" t="e">
        <f>VLOOKUP(B4895,'REGISTRO ABONOS'!$B$8:$BC$10012,54,0)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1"/>
        <v>105000</v>
      </c>
      <c r="K4896" t="e">
        <f>VLOOKUP(B4896,'REGISTRO ABONOS'!$B$8:$BC$10012,54,0)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1"/>
        <v>105000</v>
      </c>
      <c r="K4897" t="e">
        <f>VLOOKUP(B4897,'REGISTRO ABONOS'!$B$8:$BC$10012,54,0)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1"/>
        <v>105000</v>
      </c>
      <c r="K4898" t="e">
        <f>VLOOKUP(B4898,'REGISTRO ABONOS'!$B$8:$BC$10012,54,0)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1"/>
        <v>105000</v>
      </c>
      <c r="K4899" t="e">
        <f>VLOOKUP(B4899,'REGISTRO ABONOS'!$B$8:$BC$10012,54,0)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1"/>
        <v>105000</v>
      </c>
      <c r="K4900" t="e">
        <f>VLOOKUP(B4900,'REGISTRO ABONOS'!$B$8:$BC$10012,54,0)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1"/>
        <v>105000</v>
      </c>
      <c r="K4901" t="e">
        <f>VLOOKUP(B4901,'REGISTRO ABONOS'!$B$8:$BC$10012,54,0)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1"/>
        <v>105000</v>
      </c>
      <c r="K4902" t="e">
        <f>VLOOKUP(B4902,'REGISTRO ABONOS'!$B$8:$BC$10012,54,0)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1"/>
        <v>105000</v>
      </c>
      <c r="K4903" t="e">
        <f>VLOOKUP(B4903,'REGISTRO ABONOS'!$B$8:$BC$10012,54,0)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1"/>
        <v>105000</v>
      </c>
      <c r="K4904" t="e">
        <f>VLOOKUP(B4904,'REGISTRO ABONOS'!$B$8:$BC$10012,54,0)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1"/>
        <v>105000</v>
      </c>
      <c r="K4905" t="e">
        <f>VLOOKUP(B4905,'REGISTRO ABONOS'!$B$8:$BC$10012,54,0)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1"/>
        <v>105000</v>
      </c>
      <c r="K4906" t="e">
        <f>VLOOKUP(B4906,'REGISTRO ABONOS'!$B$8:$BC$10012,54,0)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1"/>
        <v>105000</v>
      </c>
      <c r="K4907" t="e">
        <f>VLOOKUP(B4907,'REGISTRO ABONOS'!$B$8:$BC$10012,54,0)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4899</v>
      </c>
      <c r="J4908">
        <f t="shared" si="81"/>
        <v>105000</v>
      </c>
      <c r="K4908" t="e">
        <f>VLOOKUP(B4908,'REGISTRO ABONOS'!$B$8:$BC$10012,54,0)</f>
        <v>#N/A</v>
      </c>
      <c r="L4908" t="e">
        <f>IF(Tabla26[[#This Row],[VALOR RESTANTE]]&lt;Tabla26[[#This Row],[VALOR]],"NO DISPONIBLE","DISPONIBLE")</f>
        <v>#N/A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1"/>
        <v>105000</v>
      </c>
      <c r="K4909" t="e">
        <f>VLOOKUP(B4909,'REGISTRO ABONOS'!$B$8:$BC$10012,54,0)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1"/>
        <v>105000</v>
      </c>
      <c r="K4910" t="e">
        <f>VLOOKUP(B4910,'REGISTRO ABONOS'!$B$8:$BC$10012,54,0)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1"/>
        <v>105000</v>
      </c>
      <c r="K4911" t="e">
        <f>VLOOKUP(B4911,'REGISTRO ABONOS'!$B$8:$BC$10012,54,0)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1"/>
        <v>105000</v>
      </c>
      <c r="K4912" t="e">
        <f>VLOOKUP(B4912,'REGISTRO ABONOS'!$B$8:$BC$10012,54,0)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1"/>
        <v>105000</v>
      </c>
      <c r="K4913" t="e">
        <f>VLOOKUP(B4913,'REGISTRO ABONOS'!$B$8:$BC$10012,54,0)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1"/>
        <v>105000</v>
      </c>
      <c r="K4914" t="e">
        <f>VLOOKUP(B4914,'REGISTRO ABONOS'!$B$8:$BC$10012,54,0)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1"/>
        <v>105000</v>
      </c>
      <c r="K4915" t="e">
        <f>VLOOKUP(B4915,'REGISTRO ABONOS'!$B$8:$BC$10012,54,0)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1"/>
        <v>105000</v>
      </c>
      <c r="K4916" t="e">
        <f>VLOOKUP(B4916,'REGISTRO ABONOS'!$B$8:$BC$10012,54,0)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1"/>
        <v>105000</v>
      </c>
      <c r="K4917" t="e">
        <f>VLOOKUP(B4917,'REGISTRO ABONOS'!$B$8:$BC$10012,54,0)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ABONOS'!$B$8:$BC$10012,54,0)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2"/>
        <v>105000</v>
      </c>
      <c r="K4919" t="e">
        <f>VLOOKUP(B4919,'REGISTRO ABONOS'!$B$8:$BC$10012,54,0)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2"/>
        <v>105000</v>
      </c>
      <c r="K4920" t="e">
        <f>VLOOKUP(B4920,'REGISTRO ABONOS'!$B$8:$BC$10012,54,0)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2"/>
        <v>105000</v>
      </c>
      <c r="K4921" t="e">
        <f>VLOOKUP(B4921,'REGISTRO ABONOS'!$B$8:$BC$10012,54,0)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2"/>
        <v>105000</v>
      </c>
      <c r="K4922" t="e">
        <f>VLOOKUP(B4922,'REGISTRO ABONOS'!$B$8:$BC$10012,54,0)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2"/>
        <v>105000</v>
      </c>
      <c r="K4923" t="e">
        <f>VLOOKUP(B4923,'REGISTRO ABONOS'!$B$8:$BC$10012,54,0)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2"/>
        <v>105000</v>
      </c>
      <c r="K4924" t="e">
        <f>VLOOKUP(B4924,'REGISTRO ABONOS'!$B$8:$BC$10012,54,0)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2"/>
        <v>105000</v>
      </c>
      <c r="K4925" t="e">
        <f>VLOOKUP(B4925,'REGISTRO ABONOS'!$B$8:$BC$10012,54,0)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2"/>
        <v>105000</v>
      </c>
      <c r="K4926" t="e">
        <f>VLOOKUP(B4926,'REGISTRO ABONOS'!$B$8:$BC$10012,54,0)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2"/>
        <v>105000</v>
      </c>
      <c r="K4927" t="e">
        <f>VLOOKUP(B4927,'REGISTRO ABONOS'!$B$8:$BC$10012,54,0)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2"/>
        <v>105000</v>
      </c>
      <c r="K4928" t="e">
        <f>VLOOKUP(B4928,'REGISTRO ABONOS'!$B$8:$BC$10012,54,0)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2"/>
        <v>105000</v>
      </c>
      <c r="K4929" t="e">
        <f>VLOOKUP(B4929,'REGISTRO ABONOS'!$B$8:$BC$10012,54,0)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2"/>
        <v>105000</v>
      </c>
      <c r="K4930" t="e">
        <f>VLOOKUP(B4930,'REGISTRO ABONOS'!$B$8:$BC$10012,54,0)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2"/>
        <v>105000</v>
      </c>
      <c r="K4931" t="e">
        <f>VLOOKUP(B4931,'REGISTRO ABONOS'!$B$8:$BC$10012,54,0)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2"/>
        <v>105000</v>
      </c>
      <c r="K4932" t="e">
        <f>VLOOKUP(B4932,'REGISTRO ABONOS'!$B$8:$BC$10012,54,0)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2"/>
        <v>105000</v>
      </c>
      <c r="K4933" t="e">
        <f>VLOOKUP(B4933,'REGISTRO ABONOS'!$B$8:$BC$10012,54,0)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2"/>
        <v>105000</v>
      </c>
      <c r="K4934" t="e">
        <f>VLOOKUP(B4934,'REGISTRO ABONOS'!$B$8:$BC$10012,54,0)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2"/>
        <v>105000</v>
      </c>
      <c r="K4935" t="e">
        <f>VLOOKUP(B4935,'REGISTRO ABONOS'!$B$8:$BC$10012,54,0)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2"/>
        <v>105000</v>
      </c>
      <c r="K4936" t="e">
        <f>VLOOKUP(B4936,'REGISTRO ABONOS'!$B$8:$BC$10012,54,0)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2"/>
        <v>105000</v>
      </c>
      <c r="K4937" t="e">
        <f>VLOOKUP(B4937,'REGISTRO ABONOS'!$B$8:$BC$10012,54,0)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2"/>
        <v>105000</v>
      </c>
      <c r="K4938" t="e">
        <f>VLOOKUP(B4938,'REGISTRO ABONOS'!$B$8:$BC$10012,54,0)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2"/>
        <v>105000</v>
      </c>
      <c r="K4939" t="e">
        <f>VLOOKUP(B4939,'REGISTRO ABONOS'!$B$8:$BC$10012,54,0)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2"/>
        <v>105000</v>
      </c>
      <c r="K4940" t="e">
        <f>VLOOKUP(B4940,'REGISTRO ABONOS'!$B$8:$BC$10012,54,0)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2"/>
        <v>105000</v>
      </c>
      <c r="K4941" t="e">
        <f>VLOOKUP(B4941,'REGISTRO ABONOS'!$B$8:$BC$10012,54,0)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2"/>
        <v>105000</v>
      </c>
      <c r="K4942" t="e">
        <f>VLOOKUP(B4942,'REGISTRO ABONOS'!$B$8:$BC$10012,54,0)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2"/>
        <v>105000</v>
      </c>
      <c r="K4943" t="e">
        <f>VLOOKUP(B4943,'REGISTRO ABONOS'!$B$8:$BC$10012,54,0)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2"/>
        <v>105000</v>
      </c>
      <c r="K4944" t="e">
        <f>VLOOKUP(B4944,'REGISTRO ABONOS'!$B$8:$BC$10012,54,0)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2"/>
        <v>105000</v>
      </c>
      <c r="K4945" t="e">
        <f>VLOOKUP(B4945,'REGISTRO ABONOS'!$B$8:$BC$10012,54,0)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2"/>
        <v>105000</v>
      </c>
      <c r="K4946" t="e">
        <f>VLOOKUP(B4946,'REGISTRO ABONOS'!$B$8:$BC$10012,54,0)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2"/>
        <v>105000</v>
      </c>
      <c r="K4947" t="e">
        <f>VLOOKUP(B4947,'REGISTRO ABONOS'!$B$8:$BC$10012,54,0)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2"/>
        <v>105000</v>
      </c>
      <c r="K4948" t="e">
        <f>VLOOKUP(B4948,'REGISTRO ABONOS'!$B$8:$BC$10012,54,0)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2"/>
        <v>105000</v>
      </c>
      <c r="K4949" t="e">
        <f>VLOOKUP(B4949,'REGISTRO ABONOS'!$B$8:$BC$10012,54,0)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2"/>
        <v>105000</v>
      </c>
      <c r="K4950" t="e">
        <f>VLOOKUP(B4950,'REGISTRO ABONOS'!$B$8:$BC$10012,54,0)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2"/>
        <v>105000</v>
      </c>
      <c r="K4951" t="e">
        <f>VLOOKUP(B4951,'REGISTRO ABONOS'!$B$8:$BC$10012,54,0)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2"/>
        <v>105000</v>
      </c>
      <c r="K4952" t="e">
        <f>VLOOKUP(B4952,'REGISTRO ABONOS'!$B$8:$BC$10012,54,0)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2"/>
        <v>105000</v>
      </c>
      <c r="K4953" t="e">
        <f>VLOOKUP(B4953,'REGISTRO ABONOS'!$B$8:$BC$10012,54,0)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2"/>
        <v>105000</v>
      </c>
      <c r="K4954" t="e">
        <f>VLOOKUP(B4954,'REGISTRO ABONOS'!$B$8:$BC$10012,54,0)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2"/>
        <v>105000</v>
      </c>
      <c r="K4955" t="e">
        <f>VLOOKUP(B4955,'REGISTRO ABONOS'!$B$8:$BC$10012,54,0)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2"/>
        <v>105000</v>
      </c>
      <c r="K4956" t="e">
        <f>VLOOKUP(B4956,'REGISTRO ABONOS'!$B$8:$BC$10012,54,0)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2"/>
        <v>105000</v>
      </c>
      <c r="K4957" t="e">
        <f>VLOOKUP(B4957,'REGISTRO ABONOS'!$B$8:$BC$10012,54,0)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2"/>
        <v>105000</v>
      </c>
      <c r="K4958" t="e">
        <f>VLOOKUP(B4958,'REGISTRO ABONOS'!$B$8:$BC$10012,54,0)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2"/>
        <v>105000</v>
      </c>
      <c r="K4959" t="e">
        <f>VLOOKUP(B4959,'REGISTRO ABONOS'!$B$8:$BC$10012,54,0)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2"/>
        <v>105000</v>
      </c>
      <c r="K4960" t="e">
        <f>VLOOKUP(B4960,'REGISTRO ABONOS'!$B$8:$BC$10012,54,0)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2"/>
        <v>105000</v>
      </c>
      <c r="K4961" t="e">
        <f>VLOOKUP(B4961,'REGISTRO ABONOS'!$B$8:$BC$10012,54,0)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2"/>
        <v>105000</v>
      </c>
      <c r="K4962" t="e">
        <f>VLOOKUP(B4962,'REGISTRO ABONOS'!$B$8:$BC$10012,54,0)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2"/>
        <v>105000</v>
      </c>
      <c r="K4963" t="e">
        <f>VLOOKUP(B4963,'REGISTRO ABONOS'!$B$8:$BC$10012,54,0)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2"/>
        <v>105000</v>
      </c>
      <c r="K4964" t="e">
        <f>VLOOKUP(B4964,'REGISTRO ABONOS'!$B$8:$BC$10012,54,0)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2"/>
        <v>105000</v>
      </c>
      <c r="K4965" t="e">
        <f>VLOOKUP(B4965,'REGISTRO ABONOS'!$B$8:$BC$10012,54,0)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2"/>
        <v>105000</v>
      </c>
      <c r="K4966" t="e">
        <f>VLOOKUP(B4966,'REGISTRO ABONOS'!$B$8:$BC$10012,54,0)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2"/>
        <v>105000</v>
      </c>
      <c r="K4967" t="e">
        <f>VLOOKUP(B4967,'REGISTRO ABONOS'!$B$8:$BC$10012,54,0)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2"/>
        <v>105000</v>
      </c>
      <c r="K4968" t="e">
        <f>VLOOKUP(B4968,'REGISTRO ABONOS'!$B$8:$BC$10012,54,0)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2"/>
        <v>105000</v>
      </c>
      <c r="K4969" t="e">
        <f>VLOOKUP(B4969,'REGISTRO ABONOS'!$B$8:$BC$10012,54,0)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2"/>
        <v>105000</v>
      </c>
      <c r="K4970" t="e">
        <f>VLOOKUP(B4970,'REGISTRO ABONOS'!$B$8:$BC$10012,54,0)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2"/>
        <v>105000</v>
      </c>
      <c r="K4971" t="e">
        <f>VLOOKUP(B4971,'REGISTRO ABONOS'!$B$8:$BC$10012,54,0)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2"/>
        <v>105000</v>
      </c>
      <c r="K4972" t="e">
        <f>VLOOKUP(B4972,'REGISTRO ABONOS'!$B$8:$BC$10012,54,0)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2"/>
        <v>105000</v>
      </c>
      <c r="K4973" t="e">
        <f>VLOOKUP(B4973,'REGISTRO ABONOS'!$B$8:$BC$10012,54,0)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2"/>
        <v>105000</v>
      </c>
      <c r="K4974" t="e">
        <f>VLOOKUP(B4974,'REGISTRO ABONOS'!$B$8:$BC$10012,54,0)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2"/>
        <v>105000</v>
      </c>
      <c r="K4975" t="e">
        <f>VLOOKUP(B4975,'REGISTRO ABONOS'!$B$8:$BC$10012,54,0)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2"/>
        <v>105000</v>
      </c>
      <c r="K4976" t="e">
        <f>VLOOKUP(B4976,'REGISTRO ABONOS'!$B$8:$BC$10012,54,0)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2"/>
        <v>105000</v>
      </c>
      <c r="K4977" t="e">
        <f>VLOOKUP(B4977,'REGISTRO ABONOS'!$B$8:$BC$10012,54,0)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2"/>
        <v>105000</v>
      </c>
      <c r="K4978" t="e">
        <f>VLOOKUP(B4978,'REGISTRO ABONOS'!$B$8:$BC$10012,54,0)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2"/>
        <v>105000</v>
      </c>
      <c r="K4979" t="e">
        <f>VLOOKUP(B4979,'REGISTRO ABONOS'!$B$8:$BC$10012,54,0)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2"/>
        <v>105000</v>
      </c>
      <c r="K4980" t="e">
        <f>VLOOKUP(B4980,'REGISTRO ABONOS'!$B$8:$BC$10012,54,0)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2"/>
        <v>105000</v>
      </c>
      <c r="K4981" t="e">
        <f>VLOOKUP(B4981,'REGISTRO ABONOS'!$B$8:$BC$10012,54,0)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ABONOS'!$B$8:$BC$10012,54,0)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3"/>
        <v>105000</v>
      </c>
      <c r="K4983" t="e">
        <f>VLOOKUP(B4983,'REGISTRO ABONOS'!$B$8:$BC$10012,54,0)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3"/>
        <v>105000</v>
      </c>
      <c r="K4984" t="e">
        <f>VLOOKUP(B4984,'REGISTRO ABONOS'!$B$8:$BC$10012,54,0)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3"/>
        <v>105000</v>
      </c>
      <c r="K4985" t="e">
        <f>VLOOKUP(B4985,'REGISTRO ABONOS'!$B$8:$BC$10012,54,0)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3"/>
        <v>105000</v>
      </c>
      <c r="K4986" t="e">
        <f>VLOOKUP(B4986,'REGISTRO ABONOS'!$B$8:$BC$10012,54,0)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J4987">
        <f t="shared" si="83"/>
        <v>105000</v>
      </c>
      <c r="K4987" t="e">
        <f>VLOOKUP(B4987,'REGISTRO ABONOS'!$B$8:$BC$10012,54,0)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3"/>
        <v>105000</v>
      </c>
      <c r="K4988" t="e">
        <f>VLOOKUP(B4988,'REGISTRO ABONOS'!$B$8:$BC$10012,54,0)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3"/>
        <v>105000</v>
      </c>
      <c r="K4989" t="e">
        <f>VLOOKUP(B4989,'REGISTRO ABONOS'!$B$8:$BC$10012,54,0)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3"/>
        <v>105000</v>
      </c>
      <c r="K4990" t="e">
        <f>VLOOKUP(B4990,'REGISTRO ABONOS'!$B$8:$BC$10012,54,0)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3"/>
        <v>105000</v>
      </c>
      <c r="K4991" t="e">
        <f>VLOOKUP(B4991,'REGISTRO ABONOS'!$B$8:$BC$10012,54,0)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3"/>
        <v>105000</v>
      </c>
      <c r="K4992" t="e">
        <f>VLOOKUP(B4992,'REGISTRO ABONOS'!$B$8:$BC$10012,54,0)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3"/>
        <v>105000</v>
      </c>
      <c r="K4993" t="e">
        <f>VLOOKUP(B4993,'REGISTRO ABONOS'!$B$8:$BC$10012,54,0)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3"/>
        <v>105000</v>
      </c>
      <c r="K4994" t="e">
        <f>VLOOKUP(B4994,'REGISTRO ABONOS'!$B$8:$BC$10012,54,0)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3"/>
        <v>105000</v>
      </c>
      <c r="K4995" t="e">
        <f>VLOOKUP(B4995,'REGISTRO ABONOS'!$B$8:$BC$10012,54,0)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3"/>
        <v>105000</v>
      </c>
      <c r="K4996" t="e">
        <f>VLOOKUP(B4996,'REGISTRO ABONOS'!$B$8:$BC$10012,54,0)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J4997">
        <f t="shared" si="83"/>
        <v>105000</v>
      </c>
      <c r="K4997" t="e">
        <f>VLOOKUP(B4997,'REGISTRO ABONOS'!$B$8:$BC$10012,54,0)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3"/>
        <v>105000</v>
      </c>
      <c r="K4998" t="e">
        <f>VLOOKUP(B4998,'REGISTRO ABONOS'!$B$8:$BC$10012,54,0)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3"/>
        <v>105000</v>
      </c>
      <c r="K4999" t="e">
        <f>VLOOKUP(B4999,'REGISTRO ABONOS'!$B$8:$BC$10012,54,0)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3"/>
        <v>105000</v>
      </c>
      <c r="K5000" t="e">
        <f>VLOOKUP(B5000,'REGISTRO ABONOS'!$B$8:$BC$10012,54,0)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3"/>
        <v>105000</v>
      </c>
      <c r="K5001" t="e">
        <f>VLOOKUP(B5001,'REGISTRO ABONOS'!$B$8:$BC$10012,54,0)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3"/>
        <v>105000</v>
      </c>
      <c r="K5002" t="e">
        <f>VLOOKUP(B5002,'REGISTRO ABONOS'!$B$8:$BC$10012,54,0)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3"/>
        <v>105000</v>
      </c>
      <c r="K5003" t="e">
        <f>VLOOKUP(B5003,'REGISTRO ABONOS'!$B$8:$BC$10012,54,0)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3"/>
        <v>105000</v>
      </c>
      <c r="K5004" t="e">
        <f>VLOOKUP(B5004,'REGISTRO ABONOS'!$B$8:$BC$10012,54,0)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3"/>
        <v>105000</v>
      </c>
      <c r="K5005" t="e">
        <f>VLOOKUP(B5005,'REGISTRO ABONOS'!$B$8:$BC$10012,54,0)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3"/>
        <v>105000</v>
      </c>
      <c r="K5006" t="e">
        <f>VLOOKUP(B5006,'REGISTRO ABONOS'!$B$8:$BC$10012,54,0)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3"/>
        <v>105000</v>
      </c>
      <c r="K5007" t="e">
        <f>VLOOKUP(B5007,'REGISTRO ABONOS'!$B$8:$BC$10012,54,0)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3"/>
        <v>105000</v>
      </c>
      <c r="K5008" t="e">
        <f>VLOOKUP(B5008,'REGISTRO ABONOS'!$B$8:$BC$10012,54,0)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J5009">
        <f t="shared" si="83"/>
        <v>105000</v>
      </c>
      <c r="K5009" t="e">
        <f>VLOOKUP(B5009,'REGISTRO ABONOS'!$B$8:$BC$10012,54,0)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3"/>
        <v>105000</v>
      </c>
      <c r="K5010" t="e">
        <f>VLOOKUP(B5010,'REGISTRO ABONOS'!$B$8:$BC$10012,54,0)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3"/>
        <v>105000</v>
      </c>
      <c r="K5011" t="e">
        <f>VLOOKUP(B5011,'REGISTRO ABONOS'!$B$8:$BC$10012,54,0)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3"/>
        <v>105000</v>
      </c>
      <c r="K5012" t="e">
        <f>VLOOKUP(B5012,'REGISTRO ABONOS'!$B$8:$BC$10012,54,0)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3"/>
        <v>105000</v>
      </c>
      <c r="K5013" t="e">
        <f>VLOOKUP(B5013,'REGISTRO ABONOS'!$B$8:$BC$10012,54,0)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3"/>
        <v>105000</v>
      </c>
      <c r="K5014" t="e">
        <f>VLOOKUP(B5014,'REGISTRO ABONOS'!$B$8:$BC$10012,54,0)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J5015">
        <f t="shared" si="83"/>
        <v>105000</v>
      </c>
      <c r="K5015" t="e">
        <f>VLOOKUP(B5015,'REGISTRO ABONOS'!$B$8:$BC$10012,54,0)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3"/>
        <v>105000</v>
      </c>
      <c r="K5016" t="e">
        <f>VLOOKUP(B5016,'REGISTRO ABONOS'!$B$8:$BC$10012,54,0)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3"/>
        <v>105000</v>
      </c>
      <c r="K5017" t="e">
        <f>VLOOKUP(B5017,'REGISTRO ABONOS'!$B$8:$BC$10012,54,0)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3"/>
        <v>105000</v>
      </c>
      <c r="K5018" t="e">
        <f>VLOOKUP(B5018,'REGISTRO ABONOS'!$B$8:$BC$10012,54,0)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3"/>
        <v>105000</v>
      </c>
      <c r="K5019" t="e">
        <f>VLOOKUP(B5019,'REGISTRO ABONOS'!$B$8:$BC$10012,54,0)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J5020">
        <f t="shared" si="83"/>
        <v>105000</v>
      </c>
      <c r="K5020" t="e">
        <f>VLOOKUP(B5020,'REGISTRO ABONOS'!$B$8:$BC$10012,54,0)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J5021">
        <f t="shared" si="83"/>
        <v>105000</v>
      </c>
      <c r="K5021" t="e">
        <f>VLOOKUP(B5021,'REGISTRO ABONOS'!$B$8:$BC$10012,54,0)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J5022">
        <f t="shared" si="83"/>
        <v>105000</v>
      </c>
      <c r="K5022" t="e">
        <f>VLOOKUP(B5022,'REGISTRO ABONOS'!$B$8:$BC$10012,54,0)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3"/>
        <v>105000</v>
      </c>
      <c r="K5023" t="e">
        <f>VLOOKUP(B5023,'REGISTRO ABONOS'!$B$8:$BC$10012,54,0)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3"/>
        <v>105000</v>
      </c>
      <c r="K5024" t="e">
        <f>VLOOKUP(B5024,'REGISTRO ABONOS'!$B$8:$BC$10012,54,0)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3"/>
        <v>105000</v>
      </c>
      <c r="K5025" t="e">
        <f>VLOOKUP(B5025,'REGISTRO ABONOS'!$B$8:$BC$10012,54,0)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3"/>
        <v>105000</v>
      </c>
      <c r="K5026" t="e">
        <f>VLOOKUP(B5026,'REGISTRO ABONOS'!$B$8:$BC$10012,54,0)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3"/>
        <v>105000</v>
      </c>
      <c r="K5027" t="e">
        <f>VLOOKUP(B5027,'REGISTRO ABONOS'!$B$8:$BC$10012,54,0)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3"/>
        <v>105000</v>
      </c>
      <c r="K5028" t="e">
        <f>VLOOKUP(B5028,'REGISTRO ABONOS'!$B$8:$BC$10012,54,0)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3"/>
        <v>105000</v>
      </c>
      <c r="K5029" t="e">
        <f>VLOOKUP(B5029,'REGISTRO ABONOS'!$B$8:$BC$10012,54,0)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3"/>
        <v>105000</v>
      </c>
      <c r="K5030" t="e">
        <f>VLOOKUP(B5030,'REGISTRO ABONOS'!$B$8:$BC$10012,54,0)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3"/>
        <v>105000</v>
      </c>
      <c r="K5031" t="e">
        <f>VLOOKUP(B5031,'REGISTRO ABONOS'!$B$8:$BC$10012,54,0)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3"/>
        <v>105000</v>
      </c>
      <c r="K5032" t="e">
        <f>VLOOKUP(B5032,'REGISTRO ABONOS'!$B$8:$BC$10012,54,0)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3"/>
        <v>105000</v>
      </c>
      <c r="K5033" t="e">
        <f>VLOOKUP(B5033,'REGISTRO ABONOS'!$B$8:$BC$10012,54,0)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3"/>
        <v>105000</v>
      </c>
      <c r="K5034" t="e">
        <f>VLOOKUP(B5034,'REGISTRO ABONOS'!$B$8:$BC$10012,54,0)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3"/>
        <v>105000</v>
      </c>
      <c r="K5035" t="e">
        <f>VLOOKUP(B5035,'REGISTRO ABONOS'!$B$8:$BC$10012,54,0)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J5036">
        <f t="shared" si="83"/>
        <v>105000</v>
      </c>
      <c r="K5036" t="e">
        <f>VLOOKUP(B5036,'REGISTRO ABONOS'!$B$8:$BC$10012,54,0)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3"/>
        <v>105000</v>
      </c>
      <c r="K5037" t="e">
        <f>VLOOKUP(B5037,'REGISTRO ABONOS'!$B$8:$BC$10012,54,0)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J5038">
        <f t="shared" si="83"/>
        <v>105000</v>
      </c>
      <c r="K5038" t="e">
        <f>VLOOKUP(B5038,'REGISTRO ABONOS'!$B$8:$BC$10012,54,0)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J5039">
        <f t="shared" si="83"/>
        <v>105000</v>
      </c>
      <c r="K5039" t="e">
        <f>VLOOKUP(B5039,'REGISTRO ABONOS'!$B$8:$BC$10012,54,0)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3"/>
        <v>105000</v>
      </c>
      <c r="K5040" t="e">
        <f>VLOOKUP(B5040,'REGISTRO ABONOS'!$B$8:$BC$10012,54,0)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J5041">
        <f t="shared" si="83"/>
        <v>105000</v>
      </c>
      <c r="K5041" t="e">
        <f>VLOOKUP(B5041,'REGISTRO ABONOS'!$B$8:$BC$10012,54,0)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3"/>
        <v>105000</v>
      </c>
      <c r="K5042" t="e">
        <f>VLOOKUP(B5042,'REGISTRO ABONOS'!$B$8:$BC$10012,54,0)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3"/>
        <v>105000</v>
      </c>
      <c r="K5043" t="e">
        <f>VLOOKUP(B5043,'REGISTRO ABONOS'!$B$8:$BC$10012,54,0)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J5044">
        <f t="shared" si="83"/>
        <v>105000</v>
      </c>
      <c r="K5044" t="e">
        <f>VLOOKUP(B5044,'REGISTRO ABONOS'!$B$8:$BC$10012,54,0)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3"/>
        <v>105000</v>
      </c>
      <c r="K5045" t="e">
        <f>VLOOKUP(B5045,'REGISTRO ABONOS'!$B$8:$BC$10012,54,0)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ABONOS'!$B$8:$BC$10012,54,0)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4"/>
        <v>105000</v>
      </c>
      <c r="K5047" t="e">
        <f>VLOOKUP(B5047,'REGISTRO ABONOS'!$B$8:$BC$10012,54,0)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4"/>
        <v>105000</v>
      </c>
      <c r="K5048" t="e">
        <f>VLOOKUP(B5048,'REGISTRO ABONOS'!$B$8:$BC$10012,54,0)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4"/>
        <v>105000</v>
      </c>
      <c r="K5049" t="e">
        <f>VLOOKUP(B5049,'REGISTRO ABONOS'!$B$8:$BC$10012,54,0)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4"/>
        <v>105000</v>
      </c>
      <c r="K5050" t="e">
        <f>VLOOKUP(B5050,'REGISTRO ABONOS'!$B$8:$BC$10012,54,0)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4"/>
        <v>105000</v>
      </c>
      <c r="K5051" t="e">
        <f>VLOOKUP(B5051,'REGISTRO ABONOS'!$B$8:$BC$10012,54,0)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J5052">
        <f t="shared" si="84"/>
        <v>105000</v>
      </c>
      <c r="K5052" t="e">
        <f>VLOOKUP(B5052,'REGISTRO ABONOS'!$B$8:$BC$10012,54,0)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J5053">
        <f t="shared" si="84"/>
        <v>105000</v>
      </c>
      <c r="K5053" t="e">
        <f>VLOOKUP(B5053,'REGISTRO ABONOS'!$B$8:$BC$10012,54,0)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4"/>
        <v>105000</v>
      </c>
      <c r="K5054" t="e">
        <f>VLOOKUP(B5054,'REGISTRO ABONOS'!$B$8:$BC$10012,54,0)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4"/>
        <v>105000</v>
      </c>
      <c r="K5055" t="e">
        <f>VLOOKUP(B5055,'REGISTRO ABONOS'!$B$8:$BC$10012,54,0)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4"/>
        <v>105000</v>
      </c>
      <c r="K5056" t="e">
        <f>VLOOKUP(B5056,'REGISTRO ABONOS'!$B$8:$BC$10012,54,0)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J5057">
        <f t="shared" si="84"/>
        <v>105000</v>
      </c>
      <c r="K5057" t="e">
        <f>VLOOKUP(B5057,'REGISTRO ABONOS'!$B$8:$BC$10012,54,0)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J5058">
        <f t="shared" si="84"/>
        <v>105000</v>
      </c>
      <c r="K5058" t="e">
        <f>VLOOKUP(B5058,'REGISTRO ABONOS'!$B$8:$BC$10012,54,0)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4"/>
        <v>105000</v>
      </c>
      <c r="K5059" t="e">
        <f>VLOOKUP(B5059,'REGISTRO ABONOS'!$B$8:$BC$10012,54,0)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4"/>
        <v>105000</v>
      </c>
      <c r="K5060" t="e">
        <f>VLOOKUP(B5060,'REGISTRO ABONOS'!$B$8:$BC$10012,54,0)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4"/>
        <v>105000</v>
      </c>
      <c r="K5061" t="e">
        <f>VLOOKUP(B5061,'REGISTRO ABONOS'!$B$8:$BC$10012,54,0)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4"/>
        <v>105000</v>
      </c>
      <c r="K5062" t="e">
        <f>VLOOKUP(B5062,'REGISTRO ABONOS'!$B$8:$BC$10012,54,0)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4"/>
        <v>105000</v>
      </c>
      <c r="K5063" t="e">
        <f>VLOOKUP(B5063,'REGISTRO ABONOS'!$B$8:$BC$10012,54,0)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J5064">
        <f t="shared" si="84"/>
        <v>105000</v>
      </c>
      <c r="K5064" t="e">
        <f>VLOOKUP(B5064,'REGISTRO ABONOS'!$B$8:$BC$10012,54,0)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4"/>
        <v>105000</v>
      </c>
      <c r="K5065" t="e">
        <f>VLOOKUP(B5065,'REGISTRO ABONOS'!$B$8:$BC$10012,54,0)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4"/>
        <v>105000</v>
      </c>
      <c r="K5066" t="e">
        <f>VLOOKUP(B5066,'REGISTRO ABONOS'!$B$8:$BC$10012,54,0)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4"/>
        <v>105000</v>
      </c>
      <c r="K5067" t="e">
        <f>VLOOKUP(B5067,'REGISTRO ABONOS'!$B$8:$BC$10012,54,0)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4"/>
        <v>105000</v>
      </c>
      <c r="K5068" t="e">
        <f>VLOOKUP(B5068,'REGISTRO ABONOS'!$B$8:$BC$10012,54,0)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4"/>
        <v>105000</v>
      </c>
      <c r="K5069" t="e">
        <f>VLOOKUP(B5069,'REGISTRO ABONOS'!$B$8:$BC$10012,54,0)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4"/>
        <v>105000</v>
      </c>
      <c r="K5070" t="e">
        <f>VLOOKUP(B5070,'REGISTRO ABONOS'!$B$8:$BC$10012,54,0)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4"/>
        <v>105000</v>
      </c>
      <c r="K5071" t="e">
        <f>VLOOKUP(B5071,'REGISTRO ABONOS'!$B$8:$BC$10012,54,0)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4"/>
        <v>105000</v>
      </c>
      <c r="K5072" t="e">
        <f>VLOOKUP(B5072,'REGISTRO ABONOS'!$B$8:$BC$10012,54,0)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4"/>
        <v>105000</v>
      </c>
      <c r="K5073" t="e">
        <f>VLOOKUP(B5073,'REGISTRO ABONOS'!$B$8:$BC$10012,54,0)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4"/>
        <v>105000</v>
      </c>
      <c r="K5074" t="e">
        <f>VLOOKUP(B5074,'REGISTRO ABONOS'!$B$8:$BC$10012,54,0)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4"/>
        <v>105000</v>
      </c>
      <c r="K5075" t="e">
        <f>VLOOKUP(B5075,'REGISTRO ABONOS'!$B$8:$BC$10012,54,0)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4"/>
        <v>105000</v>
      </c>
      <c r="K5076" t="e">
        <f>VLOOKUP(B5076,'REGISTRO ABONOS'!$B$8:$BC$10012,54,0)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4"/>
        <v>105000</v>
      </c>
      <c r="K5077" t="e">
        <f>VLOOKUP(B5077,'REGISTRO ABONOS'!$B$8:$BC$10012,54,0)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4"/>
        <v>105000</v>
      </c>
      <c r="K5078" t="e">
        <f>VLOOKUP(B5078,'REGISTRO ABONOS'!$B$8:$BC$10012,54,0)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4"/>
        <v>105000</v>
      </c>
      <c r="K5079" t="e">
        <f>VLOOKUP(B5079,'REGISTRO ABONOS'!$B$8:$BC$10012,54,0)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4"/>
        <v>105000</v>
      </c>
      <c r="K5080" t="e">
        <f>VLOOKUP(B5080,'REGISTRO ABONOS'!$B$8:$BC$10012,54,0)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4"/>
        <v>105000</v>
      </c>
      <c r="K5081" t="e">
        <f>VLOOKUP(B5081,'REGISTRO ABONOS'!$B$8:$BC$10012,54,0)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4"/>
        <v>105000</v>
      </c>
      <c r="K5082" t="e">
        <f>VLOOKUP(B5082,'REGISTRO ABONOS'!$B$8:$BC$10012,54,0)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4"/>
        <v>105000</v>
      </c>
      <c r="K5083" t="e">
        <f>VLOOKUP(B5083,'REGISTRO ABONOS'!$B$8:$BC$10012,54,0)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4"/>
        <v>105000</v>
      </c>
      <c r="K5084" t="e">
        <f>VLOOKUP(B5084,'REGISTRO ABONOS'!$B$8:$BC$10012,54,0)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4"/>
        <v>105000</v>
      </c>
      <c r="K5085" t="e">
        <f>VLOOKUP(B5085,'REGISTRO ABONOS'!$B$8:$BC$10012,54,0)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4"/>
        <v>105000</v>
      </c>
      <c r="K5086" t="e">
        <f>VLOOKUP(B5086,'REGISTRO ABONOS'!$B$8:$BC$10012,54,0)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4"/>
        <v>105000</v>
      </c>
      <c r="K5087" t="e">
        <f>VLOOKUP(B5087,'REGISTRO ABONOS'!$B$8:$BC$10012,54,0)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4"/>
        <v>105000</v>
      </c>
      <c r="K5088" t="e">
        <f>VLOOKUP(B5088,'REGISTRO ABONOS'!$B$8:$BC$10012,54,0)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4"/>
        <v>105000</v>
      </c>
      <c r="K5089" t="e">
        <f>VLOOKUP(B5089,'REGISTRO ABONOS'!$B$8:$BC$10012,54,0)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4"/>
        <v>105000</v>
      </c>
      <c r="K5090" t="e">
        <f>VLOOKUP(B5090,'REGISTRO ABONOS'!$B$8:$BC$10012,54,0)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4"/>
        <v>105000</v>
      </c>
      <c r="K5091" t="e">
        <f>VLOOKUP(B5091,'REGISTRO ABONOS'!$B$8:$BC$10012,54,0)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4"/>
        <v>105000</v>
      </c>
      <c r="K5092" t="e">
        <f>VLOOKUP(B5092,'REGISTRO ABONOS'!$B$8:$BC$10012,54,0)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4"/>
        <v>105000</v>
      </c>
      <c r="K5093" t="e">
        <f>VLOOKUP(B5093,'REGISTRO ABONOS'!$B$8:$BC$10012,54,0)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4"/>
        <v>105000</v>
      </c>
      <c r="K5094" t="e">
        <f>VLOOKUP(B5094,'REGISTRO ABONOS'!$B$8:$BC$10012,54,0)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4"/>
        <v>105000</v>
      </c>
      <c r="K5095" t="e">
        <f>VLOOKUP(B5095,'REGISTRO ABONOS'!$B$8:$BC$10012,54,0)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4"/>
        <v>105000</v>
      </c>
      <c r="K5096" t="e">
        <f>VLOOKUP(B5096,'REGISTRO ABONOS'!$B$8:$BC$10012,54,0)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4"/>
        <v>105000</v>
      </c>
      <c r="K5097" t="e">
        <f>VLOOKUP(B5097,'REGISTRO ABONOS'!$B$8:$BC$10012,54,0)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4"/>
        <v>105000</v>
      </c>
      <c r="K5098" t="e">
        <f>VLOOKUP(B5098,'REGISTRO ABONOS'!$B$8:$BC$10012,54,0)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4"/>
        <v>105000</v>
      </c>
      <c r="K5099" t="e">
        <f>VLOOKUP(B5099,'REGISTRO ABONOS'!$B$8:$BC$10012,54,0)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4"/>
        <v>105000</v>
      </c>
      <c r="K5100" t="e">
        <f>VLOOKUP(B5100,'REGISTRO ABONOS'!$B$8:$BC$10012,54,0)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4"/>
        <v>105000</v>
      </c>
      <c r="K5101" t="e">
        <f>VLOOKUP(B5101,'REGISTRO ABONOS'!$B$8:$BC$10012,54,0)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4"/>
        <v>105000</v>
      </c>
      <c r="K5102" t="e">
        <f>VLOOKUP(B5102,'REGISTRO ABONOS'!$B$8:$BC$10012,54,0)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J5103">
        <f t="shared" si="84"/>
        <v>105000</v>
      </c>
      <c r="K5103" t="e">
        <f>VLOOKUP(B5103,'REGISTRO ABONOS'!$B$8:$BC$10012,54,0)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4"/>
        <v>105000</v>
      </c>
      <c r="K5104" t="e">
        <f>VLOOKUP(B5104,'REGISTRO ABONOS'!$B$8:$BC$10012,54,0)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4"/>
        <v>105000</v>
      </c>
      <c r="K5105" t="e">
        <f>VLOOKUP(B5105,'REGISTRO ABONOS'!$B$8:$BC$10012,54,0)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4"/>
        <v>105000</v>
      </c>
      <c r="K5106" t="e">
        <f>VLOOKUP(B5106,'REGISTRO ABONOS'!$B$8:$BC$10012,54,0)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4"/>
        <v>105000</v>
      </c>
      <c r="K5107" t="e">
        <f>VLOOKUP(B5107,'REGISTRO ABONOS'!$B$8:$BC$10012,54,0)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4"/>
        <v>105000</v>
      </c>
      <c r="K5108" t="e">
        <f>VLOOKUP(B5108,'REGISTRO ABONOS'!$B$8:$BC$10012,54,0)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4"/>
        <v>105000</v>
      </c>
      <c r="K5109" t="e">
        <f>VLOOKUP(B5109,'REGISTRO ABONOS'!$B$8:$BC$10012,54,0)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ABONOS'!$B$8:$BC$10012,54,0)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5"/>
        <v>105000</v>
      </c>
      <c r="K5111" t="e">
        <f>VLOOKUP(B5111,'REGISTRO ABONOS'!$B$8:$BC$10012,54,0)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5"/>
        <v>105000</v>
      </c>
      <c r="K5112" t="e">
        <f>VLOOKUP(B5112,'REGISTRO ABONOS'!$B$8:$BC$10012,54,0)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5"/>
        <v>105000</v>
      </c>
      <c r="K5113" t="e">
        <f>VLOOKUP(B5113,'REGISTRO ABONOS'!$B$8:$BC$10012,54,0)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5"/>
        <v>105000</v>
      </c>
      <c r="K5114" t="e">
        <f>VLOOKUP(B5114,'REGISTRO ABONOS'!$B$8:$BC$10012,54,0)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5"/>
        <v>105000</v>
      </c>
      <c r="K5115" t="e">
        <f>VLOOKUP(B5115,'REGISTRO ABONOS'!$B$8:$BC$10012,54,0)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5"/>
        <v>105000</v>
      </c>
      <c r="K5116" t="e">
        <f>VLOOKUP(B5116,'REGISTRO ABONOS'!$B$8:$BC$10012,54,0)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5"/>
        <v>105000</v>
      </c>
      <c r="K5117" t="e">
        <f>VLOOKUP(B5117,'REGISTRO ABONOS'!$B$8:$BC$10012,54,0)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5"/>
        <v>105000</v>
      </c>
      <c r="K5118" t="e">
        <f>VLOOKUP(B5118,'REGISTRO ABONOS'!$B$8:$BC$10012,54,0)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5"/>
        <v>105000</v>
      </c>
      <c r="K5119" t="e">
        <f>VLOOKUP(B5119,'REGISTRO ABONOS'!$B$8:$BC$10012,54,0)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J5120">
        <f t="shared" si="85"/>
        <v>105000</v>
      </c>
      <c r="K5120" t="e">
        <f>VLOOKUP(B5120,'REGISTRO ABONOS'!$B$8:$BC$10012,54,0)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5"/>
        <v>105000</v>
      </c>
      <c r="K5121" t="e">
        <f>VLOOKUP(B5121,'REGISTRO ABONOS'!$B$8:$BC$10012,54,0)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5"/>
        <v>105000</v>
      </c>
      <c r="K5122" t="e">
        <f>VLOOKUP(B5122,'REGISTRO ABONOS'!$B$8:$BC$10012,54,0)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5"/>
        <v>105000</v>
      </c>
      <c r="K5123" t="e">
        <f>VLOOKUP(B5123,'REGISTRO ABONOS'!$B$8:$BC$10012,54,0)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J5124">
        <f t="shared" si="85"/>
        <v>105000</v>
      </c>
      <c r="K5124" t="e">
        <f>VLOOKUP(B5124,'REGISTRO ABONOS'!$B$8:$BC$10012,54,0)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J5125">
        <f t="shared" si="85"/>
        <v>105000</v>
      </c>
      <c r="K5125" t="e">
        <f>VLOOKUP(B5125,'REGISTRO ABONOS'!$B$8:$BC$10012,54,0)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5"/>
        <v>105000</v>
      </c>
      <c r="K5126" t="e">
        <f>VLOOKUP(B5126,'REGISTRO ABONOS'!$B$8:$BC$10012,54,0)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5"/>
        <v>105000</v>
      </c>
      <c r="K5127" t="e">
        <f>VLOOKUP(B5127,'REGISTRO ABONOS'!$B$8:$BC$10012,54,0)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5"/>
        <v>105000</v>
      </c>
      <c r="K5128" t="e">
        <f>VLOOKUP(B5128,'REGISTRO ABONOS'!$B$8:$BC$10012,54,0)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5"/>
        <v>105000</v>
      </c>
      <c r="K5129" t="e">
        <f>VLOOKUP(B5129,'REGISTRO ABONOS'!$B$8:$BC$10012,54,0)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5"/>
        <v>105000</v>
      </c>
      <c r="K5130" t="e">
        <f>VLOOKUP(B5130,'REGISTRO ABONOS'!$B$8:$BC$10012,54,0)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5"/>
        <v>105000</v>
      </c>
      <c r="K5131" t="e">
        <f>VLOOKUP(B5131,'REGISTRO ABONOS'!$B$8:$BC$10012,54,0)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5"/>
        <v>105000</v>
      </c>
      <c r="K5132" t="e">
        <f>VLOOKUP(B5132,'REGISTRO ABONOS'!$B$8:$BC$10012,54,0)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5"/>
        <v>105000</v>
      </c>
      <c r="K5133" t="e">
        <f>VLOOKUP(B5133,'REGISTRO ABONOS'!$B$8:$BC$10012,54,0)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5"/>
        <v>105000</v>
      </c>
      <c r="K5134" t="e">
        <f>VLOOKUP(B5134,'REGISTRO ABONOS'!$B$8:$BC$10012,54,0)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5"/>
        <v>105000</v>
      </c>
      <c r="K5135" t="e">
        <f>VLOOKUP(B5135,'REGISTRO ABONOS'!$B$8:$BC$10012,54,0)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5"/>
        <v>105000</v>
      </c>
      <c r="K5136" t="e">
        <f>VLOOKUP(B5136,'REGISTRO ABONOS'!$B$8:$BC$10012,54,0)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5"/>
        <v>105000</v>
      </c>
      <c r="K5137" t="e">
        <f>VLOOKUP(B5137,'REGISTRO ABONOS'!$B$8:$BC$10012,54,0)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5"/>
        <v>105000</v>
      </c>
      <c r="K5138" t="e">
        <f>VLOOKUP(B5138,'REGISTRO ABONOS'!$B$8:$BC$10012,54,0)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5"/>
        <v>105000</v>
      </c>
      <c r="K5139" t="e">
        <f>VLOOKUP(B5139,'REGISTRO ABONOS'!$B$8:$BC$10012,54,0)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J5140">
        <f t="shared" si="85"/>
        <v>105000</v>
      </c>
      <c r="K5140" t="e">
        <f>VLOOKUP(B5140,'REGISTRO ABONOS'!$B$8:$BC$10012,54,0)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5"/>
        <v>105000</v>
      </c>
      <c r="K5141" t="e">
        <f>VLOOKUP(B5141,'REGISTRO ABONOS'!$B$8:$BC$10012,54,0)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J5142">
        <f t="shared" si="85"/>
        <v>105000</v>
      </c>
      <c r="K5142" t="e">
        <f>VLOOKUP(B5142,'REGISTRO ABONOS'!$B$8:$BC$10012,54,0)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5"/>
        <v>105000</v>
      </c>
      <c r="K5143" t="e">
        <f>VLOOKUP(B5143,'REGISTRO ABONOS'!$B$8:$BC$10012,54,0)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5"/>
        <v>105000</v>
      </c>
      <c r="K5144" t="e">
        <f>VLOOKUP(B5144,'REGISTRO ABONOS'!$B$8:$BC$10012,54,0)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J5145">
        <f t="shared" si="85"/>
        <v>105000</v>
      </c>
      <c r="K5145" t="e">
        <f>VLOOKUP(B5145,'REGISTRO ABONOS'!$B$8:$BC$10012,54,0)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J5146">
        <f t="shared" si="85"/>
        <v>105000</v>
      </c>
      <c r="K5146" t="e">
        <f>VLOOKUP(B5146,'REGISTRO ABONOS'!$B$8:$BC$10012,54,0)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J5147">
        <f t="shared" si="85"/>
        <v>105000</v>
      </c>
      <c r="K5147" t="e">
        <f>VLOOKUP(B5147,'REGISTRO ABONOS'!$B$8:$BC$10012,54,0)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J5148">
        <f t="shared" si="85"/>
        <v>105000</v>
      </c>
      <c r="K5148" t="e">
        <f>VLOOKUP(B5148,'REGISTRO ABONOS'!$B$8:$BC$10012,54,0)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J5149">
        <f t="shared" si="85"/>
        <v>105000</v>
      </c>
      <c r="K5149" t="e">
        <f>VLOOKUP(B5149,'REGISTRO ABONOS'!$B$8:$BC$10012,54,0)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J5150">
        <f t="shared" si="85"/>
        <v>105000</v>
      </c>
      <c r="K5150" t="e">
        <f>VLOOKUP(B5150,'REGISTRO ABONOS'!$B$8:$BC$10012,54,0)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J5151">
        <f t="shared" si="85"/>
        <v>105000</v>
      </c>
      <c r="K5151" t="e">
        <f>VLOOKUP(B5151,'REGISTRO ABONOS'!$B$8:$BC$10012,54,0)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5"/>
        <v>105000</v>
      </c>
      <c r="K5152" t="e">
        <f>VLOOKUP(B5152,'REGISTRO ABONOS'!$B$8:$BC$10012,54,0)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5"/>
        <v>105000</v>
      </c>
      <c r="K5153" t="e">
        <f>VLOOKUP(B5153,'REGISTRO ABONOS'!$B$8:$BC$10012,54,0)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5"/>
        <v>105000</v>
      </c>
      <c r="K5154" t="e">
        <f>VLOOKUP(B5154,'REGISTRO ABONOS'!$B$8:$BC$10012,54,0)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J5155">
        <f t="shared" si="85"/>
        <v>105000</v>
      </c>
      <c r="K5155" t="e">
        <f>VLOOKUP(B5155,'REGISTRO ABONOS'!$B$8:$BC$10012,54,0)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5"/>
        <v>105000</v>
      </c>
      <c r="K5156" t="e">
        <f>VLOOKUP(B5156,'REGISTRO ABONOS'!$B$8:$BC$10012,54,0)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5"/>
        <v>105000</v>
      </c>
      <c r="K5157" t="e">
        <f>VLOOKUP(B5157,'REGISTRO ABONOS'!$B$8:$BC$10012,54,0)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5"/>
        <v>105000</v>
      </c>
      <c r="K5158" t="e">
        <f>VLOOKUP(B5158,'REGISTRO ABONOS'!$B$8:$BC$10012,54,0)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5"/>
        <v>105000</v>
      </c>
      <c r="K5159" t="e">
        <f>VLOOKUP(B5159,'REGISTRO ABONOS'!$B$8:$BC$10012,54,0)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J5160">
        <f t="shared" si="85"/>
        <v>105000</v>
      </c>
      <c r="K5160" t="e">
        <f>VLOOKUP(B5160,'REGISTRO ABONOS'!$B$8:$BC$10012,54,0)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5"/>
        <v>105000</v>
      </c>
      <c r="K5161" t="e">
        <f>VLOOKUP(B5161,'REGISTRO ABONOS'!$B$8:$BC$10012,54,0)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5"/>
        <v>105000</v>
      </c>
      <c r="K5162" t="e">
        <f>VLOOKUP(B5162,'REGISTRO ABONOS'!$B$8:$BC$10012,54,0)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5"/>
        <v>105000</v>
      </c>
      <c r="K5163" t="e">
        <f>VLOOKUP(B5163,'REGISTRO ABONOS'!$B$8:$BC$10012,54,0)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J5164">
        <f t="shared" si="85"/>
        <v>105000</v>
      </c>
      <c r="K5164" t="e">
        <f>VLOOKUP(B5164,'REGISTRO ABONOS'!$B$8:$BC$10012,54,0)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5"/>
        <v>105000</v>
      </c>
      <c r="K5165" t="e">
        <f>VLOOKUP(B5165,'REGISTRO ABONOS'!$B$8:$BC$10012,54,0)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J5166">
        <f t="shared" si="85"/>
        <v>105000</v>
      </c>
      <c r="K5166" t="e">
        <f>VLOOKUP(B5166,'REGISTRO ABONOS'!$B$8:$BC$10012,54,0)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5"/>
        <v>105000</v>
      </c>
      <c r="K5167" t="e">
        <f>VLOOKUP(B5167,'REGISTRO ABONOS'!$B$8:$BC$10012,54,0)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5"/>
        <v>105000</v>
      </c>
      <c r="K5168" t="e">
        <f>VLOOKUP(B5168,'REGISTRO ABONOS'!$B$8:$BC$10012,54,0)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5"/>
        <v>105000</v>
      </c>
      <c r="K5169" t="e">
        <f>VLOOKUP(B5169,'REGISTRO ABONOS'!$B$8:$BC$10012,54,0)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5"/>
        <v>105000</v>
      </c>
      <c r="K5170" t="e">
        <f>VLOOKUP(B5170,'REGISTRO ABONOS'!$B$8:$BC$10012,54,0)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J5171">
        <f t="shared" si="85"/>
        <v>105000</v>
      </c>
      <c r="K5171" t="e">
        <f>VLOOKUP(B5171,'REGISTRO ABONOS'!$B$8:$BC$10012,54,0)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5"/>
        <v>105000</v>
      </c>
      <c r="K5172" t="e">
        <f>VLOOKUP(B5172,'REGISTRO ABONOS'!$B$8:$BC$10012,54,0)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5"/>
        <v>105000</v>
      </c>
      <c r="K5173" t="e">
        <f>VLOOKUP(B5173,'REGISTRO ABONOS'!$B$8:$BC$10012,54,0)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ABONOS'!$B$8:$BC$10012,54,0)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6"/>
        <v>105000</v>
      </c>
      <c r="K5175" t="e">
        <f>VLOOKUP(B5175,'REGISTRO ABONOS'!$B$8:$BC$10012,54,0)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6"/>
        <v>105000</v>
      </c>
      <c r="K5176" t="e">
        <f>VLOOKUP(B5176,'REGISTRO ABONOS'!$B$8:$BC$10012,54,0)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6"/>
        <v>105000</v>
      </c>
      <c r="K5177" t="e">
        <f>VLOOKUP(B5177,'REGISTRO ABONOS'!$B$8:$BC$10012,54,0)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6"/>
        <v>105000</v>
      </c>
      <c r="K5178" t="e">
        <f>VLOOKUP(B5178,'REGISTRO ABONOS'!$B$8:$BC$10012,54,0)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6"/>
        <v>105000</v>
      </c>
      <c r="K5179" t="e">
        <f>VLOOKUP(B5179,'REGISTRO ABONOS'!$B$8:$BC$10012,54,0)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6"/>
        <v>105000</v>
      </c>
      <c r="K5180" t="e">
        <f>VLOOKUP(B5180,'REGISTRO ABONOS'!$B$8:$BC$10012,54,0)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6"/>
        <v>105000</v>
      </c>
      <c r="K5181" t="e">
        <f>VLOOKUP(B5181,'REGISTRO ABONOS'!$B$8:$BC$10012,54,0)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6"/>
        <v>105000</v>
      </c>
      <c r="K5182" t="e">
        <f>VLOOKUP(B5182,'REGISTRO ABONOS'!$B$8:$BC$10012,54,0)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6"/>
        <v>105000</v>
      </c>
      <c r="K5183" t="e">
        <f>VLOOKUP(B5183,'REGISTRO ABONOS'!$B$8:$BC$10012,54,0)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6"/>
        <v>105000</v>
      </c>
      <c r="K5184" t="e">
        <f>VLOOKUP(B5184,'REGISTRO ABONOS'!$B$8:$BC$10012,54,0)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6"/>
        <v>105000</v>
      </c>
      <c r="K5185" t="e">
        <f>VLOOKUP(B5185,'REGISTRO ABONOS'!$B$8:$BC$10012,54,0)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6"/>
        <v>105000</v>
      </c>
      <c r="K5186" t="e">
        <f>VLOOKUP(B5186,'REGISTRO ABONOS'!$B$8:$BC$10012,54,0)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6"/>
        <v>105000</v>
      </c>
      <c r="K5187" t="e">
        <f>VLOOKUP(B5187,'REGISTRO ABONOS'!$B$8:$BC$10012,54,0)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6"/>
        <v>105000</v>
      </c>
      <c r="K5188" t="e">
        <f>VLOOKUP(B5188,'REGISTRO ABONOS'!$B$8:$BC$10012,54,0)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6"/>
        <v>105000</v>
      </c>
      <c r="K5189" t="e">
        <f>VLOOKUP(B5189,'REGISTRO ABONOS'!$B$8:$BC$10012,54,0)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J5190">
        <f t="shared" si="86"/>
        <v>105000</v>
      </c>
      <c r="K5190" t="e">
        <f>VLOOKUP(B5190,'REGISTRO ABONOS'!$B$8:$BC$10012,54,0)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6"/>
        <v>105000</v>
      </c>
      <c r="K5191" t="e">
        <f>VLOOKUP(B5191,'REGISTRO ABONOS'!$B$8:$BC$10012,54,0)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6"/>
        <v>105000</v>
      </c>
      <c r="K5192" t="e">
        <f>VLOOKUP(B5192,'REGISTRO ABONOS'!$B$8:$BC$10012,54,0)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6"/>
        <v>105000</v>
      </c>
      <c r="K5193" t="e">
        <f>VLOOKUP(B5193,'REGISTRO ABONOS'!$B$8:$BC$10012,54,0)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6"/>
        <v>105000</v>
      </c>
      <c r="K5194" t="e">
        <f>VLOOKUP(B5194,'REGISTRO ABONOS'!$B$8:$BC$10012,54,0)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6"/>
        <v>105000</v>
      </c>
      <c r="K5195" t="e">
        <f>VLOOKUP(B5195,'REGISTRO ABONOS'!$B$8:$BC$10012,54,0)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6"/>
        <v>105000</v>
      </c>
      <c r="K5196" t="e">
        <f>VLOOKUP(B5196,'REGISTRO ABONOS'!$B$8:$BC$10012,54,0)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J5197">
        <f t="shared" si="86"/>
        <v>105000</v>
      </c>
      <c r="K5197" t="e">
        <f>VLOOKUP(B5197,'REGISTRO ABONOS'!$B$8:$BC$10012,54,0)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6"/>
        <v>105000</v>
      </c>
      <c r="K5198" t="e">
        <f>VLOOKUP(B5198,'REGISTRO ABONOS'!$B$8:$BC$10012,54,0)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6"/>
        <v>105000</v>
      </c>
      <c r="K5199" t="e">
        <f>VLOOKUP(B5199,'REGISTRO ABONOS'!$B$8:$BC$10012,54,0)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6"/>
        <v>105000</v>
      </c>
      <c r="K5200" t="e">
        <f>VLOOKUP(B5200,'REGISTRO ABONOS'!$B$8:$BC$10012,54,0)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6"/>
        <v>105000</v>
      </c>
      <c r="K5201" t="e">
        <f>VLOOKUP(B5201,'REGISTRO ABONOS'!$B$8:$BC$10012,54,0)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6"/>
        <v>105000</v>
      </c>
      <c r="K5202" t="e">
        <f>VLOOKUP(B5202,'REGISTRO ABONOS'!$B$8:$BC$10012,54,0)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6"/>
        <v>105000</v>
      </c>
      <c r="K5203" t="e">
        <f>VLOOKUP(B5203,'REGISTRO ABONOS'!$B$8:$BC$10012,54,0)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6"/>
        <v>105000</v>
      </c>
      <c r="K5204" t="e">
        <f>VLOOKUP(B5204,'REGISTRO ABONOS'!$B$8:$BC$10012,54,0)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6"/>
        <v>105000</v>
      </c>
      <c r="K5205" t="e">
        <f>VLOOKUP(B5205,'REGISTRO ABONOS'!$B$8:$BC$10012,54,0)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6"/>
        <v>105000</v>
      </c>
      <c r="K5206" t="e">
        <f>VLOOKUP(B5206,'REGISTRO ABONOS'!$B$8:$BC$10012,54,0)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6"/>
        <v>105000</v>
      </c>
      <c r="K5207" t="e">
        <f>VLOOKUP(B5207,'REGISTRO ABONOS'!$B$8:$BC$10012,54,0)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6"/>
        <v>105000</v>
      </c>
      <c r="K5208" t="e">
        <f>VLOOKUP(B5208,'REGISTRO ABONOS'!$B$8:$BC$10012,54,0)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6"/>
        <v>105000</v>
      </c>
      <c r="K5209" t="e">
        <f>VLOOKUP(B5209,'REGISTRO ABONOS'!$B$8:$BC$10012,54,0)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J5210">
        <f t="shared" si="86"/>
        <v>105000</v>
      </c>
      <c r="K5210" t="e">
        <f>VLOOKUP(B5210,'REGISTRO ABONOS'!$B$8:$BC$10012,54,0)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6"/>
        <v>105000</v>
      </c>
      <c r="K5211" t="e">
        <f>VLOOKUP(B5211,'REGISTRO ABONOS'!$B$8:$BC$10012,54,0)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6"/>
        <v>105000</v>
      </c>
      <c r="K5212" t="e">
        <f>VLOOKUP(B5212,'REGISTRO ABONOS'!$B$8:$BC$10012,54,0)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6"/>
        <v>105000</v>
      </c>
      <c r="K5213" t="e">
        <f>VLOOKUP(B5213,'REGISTRO ABONOS'!$B$8:$BC$10012,54,0)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6"/>
        <v>105000</v>
      </c>
      <c r="K5214" t="e">
        <f>VLOOKUP(B5214,'REGISTRO ABONOS'!$B$8:$BC$10012,54,0)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6"/>
        <v>105000</v>
      </c>
      <c r="K5215" t="e">
        <f>VLOOKUP(B5215,'REGISTRO ABONOS'!$B$8:$BC$10012,54,0)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6"/>
        <v>105000</v>
      </c>
      <c r="K5216" t="e">
        <f>VLOOKUP(B5216,'REGISTRO ABONOS'!$B$8:$BC$10012,54,0)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6"/>
        <v>105000</v>
      </c>
      <c r="K5217" t="e">
        <f>VLOOKUP(B5217,'REGISTRO ABONOS'!$B$8:$BC$10012,54,0)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6"/>
        <v>105000</v>
      </c>
      <c r="K5218" t="e">
        <f>VLOOKUP(B5218,'REGISTRO ABONOS'!$B$8:$BC$10012,54,0)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6"/>
        <v>105000</v>
      </c>
      <c r="K5219" t="e">
        <f>VLOOKUP(B5219,'REGISTRO ABONOS'!$B$8:$BC$10012,54,0)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J5220">
        <f t="shared" si="86"/>
        <v>105000</v>
      </c>
      <c r="K5220" t="e">
        <f>VLOOKUP(B5220,'REGISTRO ABONOS'!$B$8:$BC$10012,54,0)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6"/>
        <v>105000</v>
      </c>
      <c r="K5221" t="e">
        <f>VLOOKUP(B5221,'REGISTRO ABONOS'!$B$8:$BC$10012,54,0)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6"/>
        <v>105000</v>
      </c>
      <c r="K5222" t="e">
        <f>VLOOKUP(B5222,'REGISTRO ABONOS'!$B$8:$BC$10012,54,0)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6"/>
        <v>105000</v>
      </c>
      <c r="K5223" t="e">
        <f>VLOOKUP(B5223,'REGISTRO ABONOS'!$B$8:$BC$10012,54,0)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6"/>
        <v>105000</v>
      </c>
      <c r="K5224" t="e">
        <f>VLOOKUP(B5224,'REGISTRO ABONOS'!$B$8:$BC$10012,54,0)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6"/>
        <v>105000</v>
      </c>
      <c r="K5225" t="e">
        <f>VLOOKUP(B5225,'REGISTRO ABONOS'!$B$8:$BC$10012,54,0)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J5226">
        <f t="shared" si="86"/>
        <v>105000</v>
      </c>
      <c r="K5226" t="e">
        <f>VLOOKUP(B5226,'REGISTRO ABONOS'!$B$8:$BC$10012,54,0)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J5227">
        <f t="shared" si="86"/>
        <v>105000</v>
      </c>
      <c r="K5227" t="e">
        <f>VLOOKUP(B5227,'REGISTRO ABONOS'!$B$8:$BC$10012,54,0)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6"/>
        <v>105000</v>
      </c>
      <c r="K5228" t="e">
        <f>VLOOKUP(B5228,'REGISTRO ABONOS'!$B$8:$BC$10012,54,0)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6"/>
        <v>105000</v>
      </c>
      <c r="K5229" t="e">
        <f>VLOOKUP(B5229,'REGISTRO ABONOS'!$B$8:$BC$10012,54,0)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6"/>
        <v>105000</v>
      </c>
      <c r="K5230" t="e">
        <f>VLOOKUP(B5230,'REGISTRO ABONOS'!$B$8:$BC$10012,54,0)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J5231">
        <f t="shared" si="86"/>
        <v>105000</v>
      </c>
      <c r="K5231" t="e">
        <f>VLOOKUP(B5231,'REGISTRO ABONOS'!$B$8:$BC$10012,54,0)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6"/>
        <v>105000</v>
      </c>
      <c r="K5232" t="e">
        <f>VLOOKUP(B5232,'REGISTRO ABONOS'!$B$8:$BC$10012,54,0)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6"/>
        <v>105000</v>
      </c>
      <c r="K5233" t="e">
        <f>VLOOKUP(B5233,'REGISTRO ABONOS'!$B$8:$BC$10012,54,0)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J5234">
        <f t="shared" si="86"/>
        <v>105000</v>
      </c>
      <c r="K5234" t="e">
        <f>VLOOKUP(B5234,'REGISTRO ABONOS'!$B$8:$BC$10012,54,0)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6"/>
        <v>105000</v>
      </c>
      <c r="K5235" t="e">
        <f>VLOOKUP(B5235,'REGISTRO ABONOS'!$B$8:$BC$10012,54,0)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6"/>
        <v>105000</v>
      </c>
      <c r="K5236" t="e">
        <f>VLOOKUP(B5236,'REGISTRO ABONOS'!$B$8:$BC$10012,54,0)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J5237">
        <f t="shared" si="86"/>
        <v>105000</v>
      </c>
      <c r="K5237" t="e">
        <f>VLOOKUP(B5237,'REGISTRO ABONOS'!$B$8:$BC$10012,54,0)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ABONOS'!$B$8:$BC$10012,54,0)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7"/>
        <v>105000</v>
      </c>
      <c r="K5239" t="e">
        <f>VLOOKUP(B5239,'REGISTRO ABONOS'!$B$8:$BC$10012,54,0)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7"/>
        <v>105000</v>
      </c>
      <c r="K5240" t="e">
        <f>VLOOKUP(B5240,'REGISTRO ABONOS'!$B$8:$BC$10012,54,0)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7"/>
        <v>105000</v>
      </c>
      <c r="K5241" t="e">
        <f>VLOOKUP(B5241,'REGISTRO ABONOS'!$B$8:$BC$10012,54,0)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7"/>
        <v>105000</v>
      </c>
      <c r="K5242" t="e">
        <f>VLOOKUP(B5242,'REGISTRO ABONOS'!$B$8:$BC$10012,54,0)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7"/>
        <v>105000</v>
      </c>
      <c r="K5243" t="e">
        <f>VLOOKUP(B5243,'REGISTRO ABONOS'!$B$8:$BC$10012,54,0)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7"/>
        <v>105000</v>
      </c>
      <c r="K5244" t="e">
        <f>VLOOKUP(B5244,'REGISTRO ABONOS'!$B$8:$BC$10012,54,0)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7"/>
        <v>105000</v>
      </c>
      <c r="K5245" t="e">
        <f>VLOOKUP(B5245,'REGISTRO ABONOS'!$B$8:$BC$10012,54,0)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J5246">
        <f t="shared" si="87"/>
        <v>105000</v>
      </c>
      <c r="K5246" t="e">
        <f>VLOOKUP(B5246,'REGISTRO ABONOS'!$B$8:$BC$10012,54,0)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J5247">
        <f t="shared" si="87"/>
        <v>105000</v>
      </c>
      <c r="K5247" t="e">
        <f>VLOOKUP(B5247,'REGISTRO ABONOS'!$B$8:$BC$10012,54,0)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7"/>
        <v>105000</v>
      </c>
      <c r="K5248" t="e">
        <f>VLOOKUP(B5248,'REGISTRO ABONOS'!$B$8:$BC$10012,54,0)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7"/>
        <v>105000</v>
      </c>
      <c r="K5249" t="e">
        <f>VLOOKUP(B5249,'REGISTRO ABONOS'!$B$8:$BC$10012,54,0)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7"/>
        <v>105000</v>
      </c>
      <c r="K5250" t="e">
        <f>VLOOKUP(B5250,'REGISTRO ABONOS'!$B$8:$BC$10012,54,0)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7"/>
        <v>105000</v>
      </c>
      <c r="K5251" t="e">
        <f>VLOOKUP(B5251,'REGISTRO ABONOS'!$B$8:$BC$10012,54,0)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J5252">
        <f t="shared" si="87"/>
        <v>105000</v>
      </c>
      <c r="K5252" t="e">
        <f>VLOOKUP(B5252,'REGISTRO ABONOS'!$B$8:$BC$10012,54,0)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7"/>
        <v>105000</v>
      </c>
      <c r="K5253" t="e">
        <f>VLOOKUP(B5253,'REGISTRO ABONOS'!$B$8:$BC$10012,54,0)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7"/>
        <v>105000</v>
      </c>
      <c r="K5254" t="e">
        <f>VLOOKUP(B5254,'REGISTRO ABONOS'!$B$8:$BC$10012,54,0)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J5255">
        <f t="shared" si="87"/>
        <v>105000</v>
      </c>
      <c r="K5255" t="e">
        <f>VLOOKUP(B5255,'REGISTRO ABONOS'!$B$8:$BC$10012,54,0)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7"/>
        <v>105000</v>
      </c>
      <c r="K5256" t="e">
        <f>VLOOKUP(B5256,'REGISTRO ABONOS'!$B$8:$BC$10012,54,0)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J5257">
        <f t="shared" si="87"/>
        <v>105000</v>
      </c>
      <c r="K5257" t="e">
        <f>VLOOKUP(B5257,'REGISTRO ABONOS'!$B$8:$BC$10012,54,0)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7"/>
        <v>105000</v>
      </c>
      <c r="K5258" t="e">
        <f>VLOOKUP(B5258,'REGISTRO ABONOS'!$B$8:$BC$10012,54,0)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J5259">
        <f t="shared" si="87"/>
        <v>105000</v>
      </c>
      <c r="K5259" t="e">
        <f>VLOOKUP(B5259,'REGISTRO ABONOS'!$B$8:$BC$10012,54,0)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7"/>
        <v>105000</v>
      </c>
      <c r="K5260" t="e">
        <f>VLOOKUP(B5260,'REGISTRO ABONOS'!$B$8:$BC$10012,54,0)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7"/>
        <v>105000</v>
      </c>
      <c r="K5261" t="e">
        <f>VLOOKUP(B5261,'REGISTRO ABONOS'!$B$8:$BC$10012,54,0)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7"/>
        <v>105000</v>
      </c>
      <c r="K5262" t="e">
        <f>VLOOKUP(B5262,'REGISTRO ABONOS'!$B$8:$BC$10012,54,0)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7"/>
        <v>105000</v>
      </c>
      <c r="K5263" t="e">
        <f>VLOOKUP(B5263,'REGISTRO ABONOS'!$B$8:$BC$10012,54,0)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7"/>
        <v>105000</v>
      </c>
      <c r="K5264" t="e">
        <f>VLOOKUP(B5264,'REGISTRO ABONOS'!$B$8:$BC$10012,54,0)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7"/>
        <v>105000</v>
      </c>
      <c r="K5265" t="e">
        <f>VLOOKUP(B5265,'REGISTRO ABONOS'!$B$8:$BC$10012,54,0)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7"/>
        <v>105000</v>
      </c>
      <c r="K5266" t="e">
        <f>VLOOKUP(B5266,'REGISTRO ABONOS'!$B$8:$BC$10012,54,0)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7"/>
        <v>105000</v>
      </c>
      <c r="K5267" t="e">
        <f>VLOOKUP(B5267,'REGISTRO ABONOS'!$B$8:$BC$10012,54,0)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7"/>
        <v>105000</v>
      </c>
      <c r="K5268" t="e">
        <f>VLOOKUP(B5268,'REGISTRO ABONOS'!$B$8:$BC$10012,54,0)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7"/>
        <v>105000</v>
      </c>
      <c r="K5269" t="e">
        <f>VLOOKUP(B5269,'REGISTRO ABONOS'!$B$8:$BC$10012,54,0)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7"/>
        <v>105000</v>
      </c>
      <c r="K5270" t="e">
        <f>VLOOKUP(B5270,'REGISTRO ABONOS'!$B$8:$BC$10012,54,0)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J5271">
        <f t="shared" si="87"/>
        <v>105000</v>
      </c>
      <c r="K5271" t="e">
        <f>VLOOKUP(B5271,'REGISTRO ABONOS'!$B$8:$BC$10012,54,0)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J5272">
        <f t="shared" si="87"/>
        <v>105000</v>
      </c>
      <c r="K5272" t="e">
        <f>VLOOKUP(B5272,'REGISTRO ABONOS'!$B$8:$BC$10012,54,0)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7"/>
        <v>105000</v>
      </c>
      <c r="K5273" t="e">
        <f>VLOOKUP(B5273,'REGISTRO ABONOS'!$B$8:$BC$10012,54,0)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7"/>
        <v>105000</v>
      </c>
      <c r="K5274" t="e">
        <f>VLOOKUP(B5274,'REGISTRO ABONOS'!$B$8:$BC$10012,54,0)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7"/>
        <v>105000</v>
      </c>
      <c r="K5275" t="e">
        <f>VLOOKUP(B5275,'REGISTRO ABONOS'!$B$8:$BC$10012,54,0)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J5276">
        <f t="shared" si="87"/>
        <v>105000</v>
      </c>
      <c r="K5276" t="e">
        <f>VLOOKUP(B5276,'REGISTRO ABONOS'!$B$8:$BC$10012,54,0)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7"/>
        <v>105000</v>
      </c>
      <c r="K5277" t="e">
        <f>VLOOKUP(B5277,'REGISTRO ABONOS'!$B$8:$BC$10012,54,0)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7"/>
        <v>105000</v>
      </c>
      <c r="K5278" t="e">
        <f>VLOOKUP(B5278,'REGISTRO ABONOS'!$B$8:$BC$10012,54,0)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7"/>
        <v>105000</v>
      </c>
      <c r="K5279" t="e">
        <f>VLOOKUP(B5279,'REGISTRO ABONOS'!$B$8:$BC$10012,54,0)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7"/>
        <v>105000</v>
      </c>
      <c r="K5280" t="e">
        <f>VLOOKUP(B5280,'REGISTRO ABONOS'!$B$8:$BC$10012,54,0)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7"/>
        <v>105000</v>
      </c>
      <c r="K5281" t="e">
        <f>VLOOKUP(B5281,'REGISTRO ABONOS'!$B$8:$BC$10012,54,0)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J5282">
        <f t="shared" si="87"/>
        <v>105000</v>
      </c>
      <c r="K5282" t="e">
        <f>VLOOKUP(B5282,'REGISTRO ABONOS'!$B$8:$BC$10012,54,0)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J5283">
        <f t="shared" si="87"/>
        <v>105000</v>
      </c>
      <c r="K5283" t="e">
        <f>VLOOKUP(B5283,'REGISTRO ABONOS'!$B$8:$BC$10012,54,0)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7"/>
        <v>105000</v>
      </c>
      <c r="K5284" t="e">
        <f>VLOOKUP(B5284,'REGISTRO ABONOS'!$B$8:$BC$10012,54,0)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7"/>
        <v>105000</v>
      </c>
      <c r="K5285" t="e">
        <f>VLOOKUP(B5285,'REGISTRO ABONOS'!$B$8:$BC$10012,54,0)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7"/>
        <v>105000</v>
      </c>
      <c r="K5286" t="e">
        <f>VLOOKUP(B5286,'REGISTRO ABONOS'!$B$8:$BC$10012,54,0)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7"/>
        <v>105000</v>
      </c>
      <c r="K5287" t="e">
        <f>VLOOKUP(B5287,'REGISTRO ABONOS'!$B$8:$BC$10012,54,0)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7"/>
        <v>105000</v>
      </c>
      <c r="K5288" t="e">
        <f>VLOOKUP(B5288,'REGISTRO ABONOS'!$B$8:$BC$10012,54,0)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7"/>
        <v>105000</v>
      </c>
      <c r="K5289" t="e">
        <f>VLOOKUP(B5289,'REGISTRO ABONOS'!$B$8:$BC$10012,54,0)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7"/>
        <v>105000</v>
      </c>
      <c r="K5290" t="e">
        <f>VLOOKUP(B5290,'REGISTRO ABONOS'!$B$8:$BC$10012,54,0)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7"/>
        <v>105000</v>
      </c>
      <c r="K5291" t="e">
        <f>VLOOKUP(B5291,'REGISTRO ABONOS'!$B$8:$BC$10012,54,0)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7"/>
        <v>105000</v>
      </c>
      <c r="K5292" t="e">
        <f>VLOOKUP(B5292,'REGISTRO ABONOS'!$B$8:$BC$10012,54,0)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7"/>
        <v>105000</v>
      </c>
      <c r="K5293" t="e">
        <f>VLOOKUP(B5293,'REGISTRO ABONOS'!$B$8:$BC$10012,54,0)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7"/>
        <v>105000</v>
      </c>
      <c r="K5294" t="e">
        <f>VLOOKUP(B5294,'REGISTRO ABONOS'!$B$8:$BC$10012,54,0)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7"/>
        <v>105000</v>
      </c>
      <c r="K5295" t="e">
        <f>VLOOKUP(B5295,'REGISTRO ABONOS'!$B$8:$BC$10012,54,0)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7"/>
        <v>105000</v>
      </c>
      <c r="K5296" t="e">
        <f>VLOOKUP(B5296,'REGISTRO ABONOS'!$B$8:$BC$10012,54,0)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7"/>
        <v>105000</v>
      </c>
      <c r="K5297" t="e">
        <f>VLOOKUP(B5297,'REGISTRO ABONOS'!$B$8:$BC$10012,54,0)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7"/>
        <v>105000</v>
      </c>
      <c r="K5298" t="e">
        <f>VLOOKUP(B5298,'REGISTRO ABONOS'!$B$8:$BC$10012,54,0)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7"/>
        <v>105000</v>
      </c>
      <c r="K5299" t="e">
        <f>VLOOKUP(B5299,'REGISTRO ABONOS'!$B$8:$BC$10012,54,0)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7"/>
        <v>105000</v>
      </c>
      <c r="K5300" t="e">
        <f>VLOOKUP(B5300,'REGISTRO ABONOS'!$B$8:$BC$10012,54,0)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7"/>
        <v>105000</v>
      </c>
      <c r="K5301" t="e">
        <f>VLOOKUP(B5301,'REGISTRO ABONOS'!$B$8:$BC$10012,54,0)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ABONOS'!$B$8:$BC$10012,54,0)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8"/>
        <v>105000</v>
      </c>
      <c r="K5303" t="e">
        <f>VLOOKUP(B5303,'REGISTRO ABONOS'!$B$8:$BC$10012,54,0)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8"/>
        <v>105000</v>
      </c>
      <c r="K5304" t="e">
        <f>VLOOKUP(B5304,'REGISTRO ABONOS'!$B$8:$BC$10012,54,0)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8"/>
        <v>105000</v>
      </c>
      <c r="K5305" t="e">
        <f>VLOOKUP(B5305,'REGISTRO ABONOS'!$B$8:$BC$10012,54,0)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J5306">
        <f t="shared" si="88"/>
        <v>105000</v>
      </c>
      <c r="K5306" t="e">
        <f>VLOOKUP(B5306,'REGISTRO ABONOS'!$B$8:$BC$10012,54,0)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J5307">
        <f t="shared" si="88"/>
        <v>105000</v>
      </c>
      <c r="K5307" t="e">
        <f>VLOOKUP(B5307,'REGISTRO ABONOS'!$B$8:$BC$10012,54,0)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8"/>
        <v>105000</v>
      </c>
      <c r="K5308" t="e">
        <f>VLOOKUP(B5308,'REGISTRO ABONOS'!$B$8:$BC$10012,54,0)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8"/>
        <v>105000</v>
      </c>
      <c r="K5309" t="e">
        <f>VLOOKUP(B5309,'REGISTRO ABONOS'!$B$8:$BC$10012,54,0)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J5310">
        <f t="shared" si="88"/>
        <v>105000</v>
      </c>
      <c r="K5310" t="e">
        <f>VLOOKUP(B5310,'REGISTRO ABONOS'!$B$8:$BC$10012,54,0)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J5311">
        <f t="shared" si="88"/>
        <v>105000</v>
      </c>
      <c r="K5311" t="e">
        <f>VLOOKUP(B5311,'REGISTRO ABONOS'!$B$8:$BC$10012,54,0)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8"/>
        <v>105000</v>
      </c>
      <c r="K5312" t="e">
        <f>VLOOKUP(B5312,'REGISTRO ABONOS'!$B$8:$BC$10012,54,0)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8"/>
        <v>105000</v>
      </c>
      <c r="K5313" t="e">
        <f>VLOOKUP(B5313,'REGISTRO ABONOS'!$B$8:$BC$10012,54,0)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J5314">
        <f t="shared" si="88"/>
        <v>105000</v>
      </c>
      <c r="K5314" t="e">
        <f>VLOOKUP(B5314,'REGISTRO ABONOS'!$B$8:$BC$10012,54,0)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8"/>
        <v>105000</v>
      </c>
      <c r="K5315" t="e">
        <f>VLOOKUP(B5315,'REGISTRO ABONOS'!$B$8:$BC$10012,54,0)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8"/>
        <v>105000</v>
      </c>
      <c r="K5316" t="e">
        <f>VLOOKUP(B5316,'REGISTRO ABONOS'!$B$8:$BC$10012,54,0)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8"/>
        <v>105000</v>
      </c>
      <c r="K5317" t="e">
        <f>VLOOKUP(B5317,'REGISTRO ABONOS'!$B$8:$BC$10012,54,0)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8"/>
        <v>105000</v>
      </c>
      <c r="K5318" t="e">
        <f>VLOOKUP(B5318,'REGISTRO ABONOS'!$B$8:$BC$10012,54,0)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J5319">
        <f t="shared" si="88"/>
        <v>105000</v>
      </c>
      <c r="K5319" t="e">
        <f>VLOOKUP(B5319,'REGISTRO ABONOS'!$B$8:$BC$10012,54,0)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J5320">
        <f t="shared" si="88"/>
        <v>105000</v>
      </c>
      <c r="K5320" t="e">
        <f>VLOOKUP(B5320,'REGISTRO ABONOS'!$B$8:$BC$10012,54,0)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J5321">
        <f t="shared" si="88"/>
        <v>105000</v>
      </c>
      <c r="K5321" t="e">
        <f>VLOOKUP(B5321,'REGISTRO ABONOS'!$B$8:$BC$10012,54,0)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8"/>
        <v>105000</v>
      </c>
      <c r="K5322" t="e">
        <f>VLOOKUP(B5322,'REGISTRO ABONOS'!$B$8:$BC$10012,54,0)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8"/>
        <v>105000</v>
      </c>
      <c r="K5323" t="e">
        <f>VLOOKUP(B5323,'REGISTRO ABONOS'!$B$8:$BC$10012,54,0)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J5324">
        <f t="shared" si="88"/>
        <v>105000</v>
      </c>
      <c r="K5324" t="e">
        <f>VLOOKUP(B5324,'REGISTRO ABONOS'!$B$8:$BC$10012,54,0)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J5325">
        <f t="shared" si="88"/>
        <v>105000</v>
      </c>
      <c r="K5325" t="e">
        <f>VLOOKUP(B5325,'REGISTRO ABONOS'!$B$8:$BC$10012,54,0)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8"/>
        <v>105000</v>
      </c>
      <c r="K5326" t="e">
        <f>VLOOKUP(B5326,'REGISTRO ABONOS'!$B$8:$BC$10012,54,0)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8"/>
        <v>105000</v>
      </c>
      <c r="K5327" t="e">
        <f>VLOOKUP(B5327,'REGISTRO ABONOS'!$B$8:$BC$10012,54,0)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8"/>
        <v>105000</v>
      </c>
      <c r="K5328" t="e">
        <f>VLOOKUP(B5328,'REGISTRO ABONOS'!$B$8:$BC$10012,54,0)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8"/>
        <v>105000</v>
      </c>
      <c r="K5329" t="e">
        <f>VLOOKUP(B5329,'REGISTRO ABONOS'!$B$8:$BC$10012,54,0)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8"/>
        <v>105000</v>
      </c>
      <c r="K5330" t="e">
        <f>VLOOKUP(B5330,'REGISTRO ABONOS'!$B$8:$BC$10012,54,0)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8"/>
        <v>105000</v>
      </c>
      <c r="K5331" t="e">
        <f>VLOOKUP(B5331,'REGISTRO ABONOS'!$B$8:$BC$10012,54,0)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8"/>
        <v>105000</v>
      </c>
      <c r="K5332" t="e">
        <f>VLOOKUP(B5332,'REGISTRO ABONOS'!$B$8:$BC$10012,54,0)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J5333">
        <f t="shared" si="88"/>
        <v>105000</v>
      </c>
      <c r="K5333" t="e">
        <f>VLOOKUP(B5333,'REGISTRO ABONOS'!$B$8:$BC$10012,54,0)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8"/>
        <v>105000</v>
      </c>
      <c r="K5334" t="e">
        <f>VLOOKUP(B5334,'REGISTRO ABONOS'!$B$8:$BC$10012,54,0)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8"/>
        <v>105000</v>
      </c>
      <c r="K5335" t="e">
        <f>VLOOKUP(B5335,'REGISTRO ABONOS'!$B$8:$BC$10012,54,0)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8"/>
        <v>105000</v>
      </c>
      <c r="K5336" t="e">
        <f>VLOOKUP(B5336,'REGISTRO ABONOS'!$B$8:$BC$10012,54,0)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J5337">
        <f t="shared" si="88"/>
        <v>105000</v>
      </c>
      <c r="K5337" t="e">
        <f>VLOOKUP(B5337,'REGISTRO ABONOS'!$B$8:$BC$10012,54,0)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8"/>
        <v>105000</v>
      </c>
      <c r="K5338" t="e">
        <f>VLOOKUP(B5338,'REGISTRO ABONOS'!$B$8:$BC$10012,54,0)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8"/>
        <v>105000</v>
      </c>
      <c r="K5339" t="e">
        <f>VLOOKUP(B5339,'REGISTRO ABONOS'!$B$8:$BC$10012,54,0)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8"/>
        <v>105000</v>
      </c>
      <c r="K5340" t="e">
        <f>VLOOKUP(B5340,'REGISTRO ABONOS'!$B$8:$BC$10012,54,0)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J5341">
        <f t="shared" si="88"/>
        <v>105000</v>
      </c>
      <c r="K5341" t="e">
        <f>VLOOKUP(B5341,'REGISTRO ABONOS'!$B$8:$BC$10012,54,0)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J5342">
        <f t="shared" si="88"/>
        <v>105000</v>
      </c>
      <c r="K5342" t="e">
        <f>VLOOKUP(B5342,'REGISTRO ABONOS'!$B$8:$BC$10012,54,0)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8"/>
        <v>105000</v>
      </c>
      <c r="K5343" t="e">
        <f>VLOOKUP(B5343,'REGISTRO ABONOS'!$B$8:$BC$10012,54,0)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8"/>
        <v>105000</v>
      </c>
      <c r="K5344" t="e">
        <f>VLOOKUP(B5344,'REGISTRO ABONOS'!$B$8:$BC$10012,54,0)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8"/>
        <v>105000</v>
      </c>
      <c r="K5345" t="e">
        <f>VLOOKUP(B5345,'REGISTRO ABONOS'!$B$8:$BC$10012,54,0)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8"/>
        <v>105000</v>
      </c>
      <c r="K5346" t="e">
        <f>VLOOKUP(B5346,'REGISTRO ABONOS'!$B$8:$BC$10012,54,0)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8"/>
        <v>105000</v>
      </c>
      <c r="K5347" t="e">
        <f>VLOOKUP(B5347,'REGISTRO ABONOS'!$B$8:$BC$10012,54,0)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J5348">
        <f t="shared" si="88"/>
        <v>105000</v>
      </c>
      <c r="K5348" t="e">
        <f>VLOOKUP(B5348,'REGISTRO ABONOS'!$B$8:$BC$10012,54,0)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8"/>
        <v>105000</v>
      </c>
      <c r="K5349" t="e">
        <f>VLOOKUP(B5349,'REGISTRO ABONOS'!$B$8:$BC$10012,54,0)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8"/>
        <v>105000</v>
      </c>
      <c r="K5350" t="e">
        <f>VLOOKUP(B5350,'REGISTRO ABONOS'!$B$8:$BC$10012,54,0)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8"/>
        <v>105000</v>
      </c>
      <c r="K5351" t="e">
        <f>VLOOKUP(B5351,'REGISTRO ABONOS'!$B$8:$BC$10012,54,0)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8"/>
        <v>105000</v>
      </c>
      <c r="K5352" t="e">
        <f>VLOOKUP(B5352,'REGISTRO ABONOS'!$B$8:$BC$10012,54,0)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8"/>
        <v>105000</v>
      </c>
      <c r="K5353" t="e">
        <f>VLOOKUP(B5353,'REGISTRO ABONOS'!$B$8:$BC$10012,54,0)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J5354">
        <f t="shared" si="88"/>
        <v>105000</v>
      </c>
      <c r="K5354" t="e">
        <f>VLOOKUP(B5354,'REGISTRO ABONOS'!$B$8:$BC$10012,54,0)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8"/>
        <v>105000</v>
      </c>
      <c r="K5355" t="e">
        <f>VLOOKUP(B5355,'REGISTRO ABONOS'!$B$8:$BC$10012,54,0)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8"/>
        <v>105000</v>
      </c>
      <c r="K5356" t="e">
        <f>VLOOKUP(B5356,'REGISTRO ABONOS'!$B$8:$BC$10012,54,0)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8"/>
        <v>105000</v>
      </c>
      <c r="K5357" t="e">
        <f>VLOOKUP(B5357,'REGISTRO ABONOS'!$B$8:$BC$10012,54,0)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J5358">
        <f t="shared" si="88"/>
        <v>105000</v>
      </c>
      <c r="K5358" t="e">
        <f>VLOOKUP(B5358,'REGISTRO ABONOS'!$B$8:$BC$10012,54,0)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J5359">
        <f t="shared" si="88"/>
        <v>105000</v>
      </c>
      <c r="K5359" t="e">
        <f>VLOOKUP(B5359,'REGISTRO ABONOS'!$B$8:$BC$10012,54,0)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8"/>
        <v>105000</v>
      </c>
      <c r="K5360" t="e">
        <f>VLOOKUP(B5360,'REGISTRO ABONOS'!$B$8:$BC$10012,54,0)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8"/>
        <v>105000</v>
      </c>
      <c r="K5361" t="e">
        <f>VLOOKUP(B5361,'REGISTRO ABONOS'!$B$8:$BC$10012,54,0)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8"/>
        <v>105000</v>
      </c>
      <c r="K5362" t="e">
        <f>VLOOKUP(B5362,'REGISTRO ABONOS'!$B$8:$BC$10012,54,0)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8"/>
        <v>105000</v>
      </c>
      <c r="K5363" t="e">
        <f>VLOOKUP(B5363,'REGISTRO ABONOS'!$B$8:$BC$10012,54,0)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8"/>
        <v>105000</v>
      </c>
      <c r="K5364" t="e">
        <f>VLOOKUP(B5364,'REGISTRO ABONOS'!$B$8:$BC$10012,54,0)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8"/>
        <v>105000</v>
      </c>
      <c r="K5365" t="e">
        <f>VLOOKUP(B5365,'REGISTRO ABONOS'!$B$8:$BC$10012,54,0)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ABONOS'!$B$8:$BC$10012,54,0)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J5367">
        <f t="shared" si="89"/>
        <v>105000</v>
      </c>
      <c r="K5367" t="e">
        <f>VLOOKUP(B5367,'REGISTRO ABONOS'!$B$8:$BC$10012,54,0)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9"/>
        <v>105000</v>
      </c>
      <c r="K5368" t="e">
        <f>VLOOKUP(B5368,'REGISTRO ABONOS'!$B$8:$BC$10012,54,0)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9"/>
        <v>105000</v>
      </c>
      <c r="K5369" t="e">
        <f>VLOOKUP(B5369,'REGISTRO ABONOS'!$B$8:$BC$10012,54,0)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J5370">
        <f t="shared" si="89"/>
        <v>105000</v>
      </c>
      <c r="K5370" t="e">
        <f>VLOOKUP(B5370,'REGISTRO ABONOS'!$B$8:$BC$10012,54,0)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9"/>
        <v>105000</v>
      </c>
      <c r="K5371" t="e">
        <f>VLOOKUP(B5371,'REGISTRO ABONOS'!$B$8:$BC$10012,54,0)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9"/>
        <v>105000</v>
      </c>
      <c r="K5372" t="e">
        <f>VLOOKUP(B5372,'REGISTRO ABONOS'!$B$8:$BC$10012,54,0)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9"/>
        <v>105000</v>
      </c>
      <c r="K5373" t="e">
        <f>VLOOKUP(B5373,'REGISTRO ABONOS'!$B$8:$BC$10012,54,0)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9"/>
        <v>105000</v>
      </c>
      <c r="K5374" t="e">
        <f>VLOOKUP(B5374,'REGISTRO ABONOS'!$B$8:$BC$10012,54,0)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9"/>
        <v>105000</v>
      </c>
      <c r="K5375" t="e">
        <f>VLOOKUP(B5375,'REGISTRO ABONOS'!$B$8:$BC$10012,54,0)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9"/>
        <v>105000</v>
      </c>
      <c r="K5376" t="e">
        <f>VLOOKUP(B5376,'REGISTRO ABONOS'!$B$8:$BC$10012,54,0)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9"/>
        <v>105000</v>
      </c>
      <c r="K5377" t="e">
        <f>VLOOKUP(B5377,'REGISTRO ABONOS'!$B$8:$BC$10012,54,0)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9"/>
        <v>105000</v>
      </c>
      <c r="K5378" t="e">
        <f>VLOOKUP(B5378,'REGISTRO ABONOS'!$B$8:$BC$10012,54,0)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9"/>
        <v>105000</v>
      </c>
      <c r="K5379" t="e">
        <f>VLOOKUP(B5379,'REGISTRO ABONOS'!$B$8:$BC$10012,54,0)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9"/>
        <v>105000</v>
      </c>
      <c r="K5380" t="e">
        <f>VLOOKUP(B5380,'REGISTRO ABONOS'!$B$8:$BC$10012,54,0)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9"/>
        <v>105000</v>
      </c>
      <c r="K5381" t="e">
        <f>VLOOKUP(B5381,'REGISTRO ABONOS'!$B$8:$BC$10012,54,0)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9"/>
        <v>105000</v>
      </c>
      <c r="K5382" t="e">
        <f>VLOOKUP(B5382,'REGISTRO ABONOS'!$B$8:$BC$10012,54,0)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9"/>
        <v>105000</v>
      </c>
      <c r="K5383" t="e">
        <f>VLOOKUP(B5383,'REGISTRO ABONOS'!$B$8:$BC$10012,54,0)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J5384">
        <f t="shared" si="89"/>
        <v>105000</v>
      </c>
      <c r="K5384" t="e">
        <f>VLOOKUP(B5384,'REGISTRO ABONOS'!$B$8:$BC$10012,54,0)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9"/>
        <v>105000</v>
      </c>
      <c r="K5385" t="e">
        <f>VLOOKUP(B5385,'REGISTRO ABONOS'!$B$8:$BC$10012,54,0)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J5386">
        <f t="shared" si="89"/>
        <v>105000</v>
      </c>
      <c r="K5386" t="e">
        <f>VLOOKUP(B5386,'REGISTRO ABONOS'!$B$8:$BC$10012,54,0)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9"/>
        <v>105000</v>
      </c>
      <c r="K5387" t="e">
        <f>VLOOKUP(B5387,'REGISTRO ABONOS'!$B$8:$BC$10012,54,0)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9"/>
        <v>105000</v>
      </c>
      <c r="K5388" t="e">
        <f>VLOOKUP(B5388,'REGISTRO ABONOS'!$B$8:$BC$10012,54,0)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9"/>
        <v>105000</v>
      </c>
      <c r="K5389" t="e">
        <f>VLOOKUP(B5389,'REGISTRO ABONOS'!$B$8:$BC$10012,54,0)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9"/>
        <v>105000</v>
      </c>
      <c r="K5390" t="e">
        <f>VLOOKUP(B5390,'REGISTRO ABONOS'!$B$8:$BC$10012,54,0)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9"/>
        <v>105000</v>
      </c>
      <c r="K5391" t="e">
        <f>VLOOKUP(B5391,'REGISTRO ABONOS'!$B$8:$BC$10012,54,0)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9"/>
        <v>105000</v>
      </c>
      <c r="K5392" t="e">
        <f>VLOOKUP(B5392,'REGISTRO ABONOS'!$B$8:$BC$10012,54,0)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J5393">
        <f t="shared" si="89"/>
        <v>105000</v>
      </c>
      <c r="K5393" t="e">
        <f>VLOOKUP(B5393,'REGISTRO ABONOS'!$B$8:$BC$10012,54,0)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9"/>
        <v>105000</v>
      </c>
      <c r="K5394" t="e">
        <f>VLOOKUP(B5394,'REGISTRO ABONOS'!$B$8:$BC$10012,54,0)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9"/>
        <v>105000</v>
      </c>
      <c r="K5395" t="e">
        <f>VLOOKUP(B5395,'REGISTRO ABONOS'!$B$8:$BC$10012,54,0)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9"/>
        <v>105000</v>
      </c>
      <c r="K5396" t="e">
        <f>VLOOKUP(B5396,'REGISTRO ABONOS'!$B$8:$BC$10012,54,0)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9"/>
        <v>105000</v>
      </c>
      <c r="K5397" t="e">
        <f>VLOOKUP(B5397,'REGISTRO ABONOS'!$B$8:$BC$10012,54,0)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9"/>
        <v>105000</v>
      </c>
      <c r="K5398" t="e">
        <f>VLOOKUP(B5398,'REGISTRO ABONOS'!$B$8:$BC$10012,54,0)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J5399">
        <f t="shared" si="89"/>
        <v>105000</v>
      </c>
      <c r="K5399" t="e">
        <f>VLOOKUP(B5399,'REGISTRO ABONOS'!$B$8:$BC$10012,54,0)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9"/>
        <v>105000</v>
      </c>
      <c r="K5400" t="e">
        <f>VLOOKUP(B5400,'REGISTRO ABONOS'!$B$8:$BC$10012,54,0)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9"/>
        <v>105000</v>
      </c>
      <c r="K5401" t="e">
        <f>VLOOKUP(B5401,'REGISTRO ABONOS'!$B$8:$BC$10012,54,0)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9"/>
        <v>105000</v>
      </c>
      <c r="K5402" t="e">
        <f>VLOOKUP(B5402,'REGISTRO ABONOS'!$B$8:$BC$10012,54,0)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9"/>
        <v>105000</v>
      </c>
      <c r="K5403" t="e">
        <f>VLOOKUP(B5403,'REGISTRO ABONOS'!$B$8:$BC$10012,54,0)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9"/>
        <v>105000</v>
      </c>
      <c r="K5404" t="e">
        <f>VLOOKUP(B5404,'REGISTRO ABONOS'!$B$8:$BC$10012,54,0)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9"/>
        <v>105000</v>
      </c>
      <c r="K5405" t="e">
        <f>VLOOKUP(B5405,'REGISTRO ABONOS'!$B$8:$BC$10012,54,0)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9"/>
        <v>105000</v>
      </c>
      <c r="K5406" t="e">
        <f>VLOOKUP(B5406,'REGISTRO ABONOS'!$B$8:$BC$10012,54,0)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J5407">
        <f t="shared" si="89"/>
        <v>105000</v>
      </c>
      <c r="K5407" t="e">
        <f>VLOOKUP(B5407,'REGISTRO ABONOS'!$B$8:$BC$10012,54,0)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9"/>
        <v>105000</v>
      </c>
      <c r="K5408" t="e">
        <f>VLOOKUP(B5408,'REGISTRO ABONOS'!$B$8:$BC$10012,54,0)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9"/>
        <v>105000</v>
      </c>
      <c r="K5409" t="e">
        <f>VLOOKUP(B5409,'REGISTRO ABONOS'!$B$8:$BC$10012,54,0)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J5410">
        <f t="shared" si="89"/>
        <v>105000</v>
      </c>
      <c r="K5410" t="e">
        <f>VLOOKUP(B5410,'REGISTRO ABONOS'!$B$8:$BC$10012,54,0)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J5411">
        <f t="shared" si="89"/>
        <v>105000</v>
      </c>
      <c r="K5411" t="e">
        <f>VLOOKUP(B5411,'REGISTRO ABONOS'!$B$8:$BC$10012,54,0)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J5412">
        <f t="shared" si="89"/>
        <v>105000</v>
      </c>
      <c r="K5412" t="e">
        <f>VLOOKUP(B5412,'REGISTRO ABONOS'!$B$8:$BC$10012,54,0)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9"/>
        <v>105000</v>
      </c>
      <c r="K5413" t="e">
        <f>VLOOKUP(B5413,'REGISTRO ABONOS'!$B$8:$BC$10012,54,0)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9"/>
        <v>105000</v>
      </c>
      <c r="K5414" t="e">
        <f>VLOOKUP(B5414,'REGISTRO ABONOS'!$B$8:$BC$10012,54,0)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9"/>
        <v>105000</v>
      </c>
      <c r="K5415" t="e">
        <f>VLOOKUP(B5415,'REGISTRO ABONOS'!$B$8:$BC$10012,54,0)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9"/>
        <v>105000</v>
      </c>
      <c r="K5416" t="e">
        <f>VLOOKUP(B5416,'REGISTRO ABONOS'!$B$8:$BC$10012,54,0)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9"/>
        <v>105000</v>
      </c>
      <c r="K5417" t="e">
        <f>VLOOKUP(B5417,'REGISTRO ABONOS'!$B$8:$BC$10012,54,0)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9"/>
        <v>105000</v>
      </c>
      <c r="K5418" t="e">
        <f>VLOOKUP(B5418,'REGISTRO ABONOS'!$B$8:$BC$10012,54,0)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9"/>
        <v>105000</v>
      </c>
      <c r="K5419" t="e">
        <f>VLOOKUP(B5419,'REGISTRO ABONOS'!$B$8:$BC$10012,54,0)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9"/>
        <v>105000</v>
      </c>
      <c r="K5420" t="e">
        <f>VLOOKUP(B5420,'REGISTRO ABONOS'!$B$8:$BC$10012,54,0)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9"/>
        <v>105000</v>
      </c>
      <c r="K5421" t="e">
        <f>VLOOKUP(B5421,'REGISTRO ABONOS'!$B$8:$BC$10012,54,0)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9"/>
        <v>105000</v>
      </c>
      <c r="K5422" t="e">
        <f>VLOOKUP(B5422,'REGISTRO ABONOS'!$B$8:$BC$10012,54,0)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9"/>
        <v>105000</v>
      </c>
      <c r="K5423" t="e">
        <f>VLOOKUP(B5423,'REGISTRO ABONOS'!$B$8:$BC$10012,54,0)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J5424">
        <f t="shared" si="89"/>
        <v>105000</v>
      </c>
      <c r="K5424" t="e">
        <f>VLOOKUP(B5424,'REGISTRO ABONOS'!$B$8:$BC$10012,54,0)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9"/>
        <v>105000</v>
      </c>
      <c r="K5425" t="e">
        <f>VLOOKUP(B5425,'REGISTRO ABONOS'!$B$8:$BC$10012,54,0)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9"/>
        <v>105000</v>
      </c>
      <c r="K5426" t="e">
        <f>VLOOKUP(B5426,'REGISTRO ABONOS'!$B$8:$BC$10012,54,0)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J5427">
        <f t="shared" si="89"/>
        <v>105000</v>
      </c>
      <c r="K5427" t="e">
        <f>VLOOKUP(B5427,'REGISTRO ABONOS'!$B$8:$BC$10012,54,0)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J5428">
        <f t="shared" si="89"/>
        <v>105000</v>
      </c>
      <c r="K5428" t="e">
        <f>VLOOKUP(B5428,'REGISTRO ABONOS'!$B$8:$BC$10012,54,0)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J5429">
        <f t="shared" si="89"/>
        <v>105000</v>
      </c>
      <c r="K5429" t="e">
        <f>VLOOKUP(B5429,'REGISTRO ABONOS'!$B$8:$BC$10012,54,0)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ABONOS'!$B$8:$BC$10012,54,0)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90"/>
        <v>105000</v>
      </c>
      <c r="K5431" t="e">
        <f>VLOOKUP(B5431,'REGISTRO ABONOS'!$B$8:$BC$10012,54,0)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90"/>
        <v>105000</v>
      </c>
      <c r="K5432" t="e">
        <f>VLOOKUP(B5432,'REGISTRO ABONOS'!$B$8:$BC$10012,54,0)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90"/>
        <v>105000</v>
      </c>
      <c r="K5433" t="e">
        <f>VLOOKUP(B5433,'REGISTRO ABONOS'!$B$8:$BC$10012,54,0)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J5434">
        <f t="shared" si="90"/>
        <v>105000</v>
      </c>
      <c r="K5434" t="e">
        <f>VLOOKUP(B5434,'REGISTRO ABONOS'!$B$8:$BC$10012,54,0)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90"/>
        <v>105000</v>
      </c>
      <c r="K5435" t="e">
        <f>VLOOKUP(B5435,'REGISTRO ABONOS'!$B$8:$BC$10012,54,0)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J5436">
        <f t="shared" si="90"/>
        <v>105000</v>
      </c>
      <c r="K5436" t="e">
        <f>VLOOKUP(B5436,'REGISTRO ABONOS'!$B$8:$BC$10012,54,0)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J5437">
        <f t="shared" si="90"/>
        <v>105000</v>
      </c>
      <c r="K5437" t="e">
        <f>VLOOKUP(B5437,'REGISTRO ABONOS'!$B$8:$BC$10012,54,0)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J5438">
        <f t="shared" si="90"/>
        <v>105000</v>
      </c>
      <c r="K5438" t="e">
        <f>VLOOKUP(B5438,'REGISTRO ABONOS'!$B$8:$BC$10012,54,0)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90"/>
        <v>105000</v>
      </c>
      <c r="K5439" t="e">
        <f>VLOOKUP(B5439,'REGISTRO ABONOS'!$B$8:$BC$10012,54,0)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90"/>
        <v>105000</v>
      </c>
      <c r="K5440" t="e">
        <f>VLOOKUP(B5440,'REGISTRO ABONOS'!$B$8:$BC$10012,54,0)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J5441">
        <f t="shared" si="90"/>
        <v>105000</v>
      </c>
      <c r="K5441" t="e">
        <f>VLOOKUP(B5441,'REGISTRO ABONOS'!$B$8:$BC$10012,54,0)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J5442">
        <f t="shared" si="90"/>
        <v>105000</v>
      </c>
      <c r="K5442" t="e">
        <f>VLOOKUP(B5442,'REGISTRO ABONOS'!$B$8:$BC$10012,54,0)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90"/>
        <v>105000</v>
      </c>
      <c r="K5443" t="e">
        <f>VLOOKUP(B5443,'REGISTRO ABONOS'!$B$8:$BC$10012,54,0)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J5444">
        <f t="shared" si="90"/>
        <v>105000</v>
      </c>
      <c r="K5444" t="e">
        <f>VLOOKUP(B5444,'REGISTRO ABONOS'!$B$8:$BC$10012,54,0)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J5445">
        <f t="shared" si="90"/>
        <v>105000</v>
      </c>
      <c r="K5445" t="e">
        <f>VLOOKUP(B5445,'REGISTRO ABONOS'!$B$8:$BC$10012,54,0)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J5446">
        <f t="shared" si="90"/>
        <v>105000</v>
      </c>
      <c r="K5446" t="e">
        <f>VLOOKUP(B5446,'REGISTRO ABONOS'!$B$8:$BC$10012,54,0)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90"/>
        <v>105000</v>
      </c>
      <c r="K5447" t="e">
        <f>VLOOKUP(B5447,'REGISTRO ABONOS'!$B$8:$BC$10012,54,0)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J5448">
        <f t="shared" si="90"/>
        <v>105000</v>
      </c>
      <c r="K5448" t="e">
        <f>VLOOKUP(B5448,'REGISTRO ABONOS'!$B$8:$BC$10012,54,0)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90"/>
        <v>105000</v>
      </c>
      <c r="K5449" t="e">
        <f>VLOOKUP(B5449,'REGISTRO ABONOS'!$B$8:$BC$10012,54,0)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90"/>
        <v>105000</v>
      </c>
      <c r="K5450" t="e">
        <f>VLOOKUP(B5450,'REGISTRO ABONOS'!$B$8:$BC$10012,54,0)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90"/>
        <v>105000</v>
      </c>
      <c r="K5451" t="e">
        <f>VLOOKUP(B5451,'REGISTRO ABONOS'!$B$8:$BC$10012,54,0)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J5452">
        <f t="shared" si="90"/>
        <v>105000</v>
      </c>
      <c r="K5452" t="e">
        <f>VLOOKUP(B5452,'REGISTRO ABONOS'!$B$8:$BC$10012,54,0)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J5453">
        <f t="shared" si="90"/>
        <v>105000</v>
      </c>
      <c r="K5453" t="e">
        <f>VLOOKUP(B5453,'REGISTRO ABONOS'!$B$8:$BC$10012,54,0)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90"/>
        <v>105000</v>
      </c>
      <c r="K5454" t="e">
        <f>VLOOKUP(B5454,'REGISTRO ABONOS'!$B$8:$BC$10012,54,0)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90"/>
        <v>105000</v>
      </c>
      <c r="K5455" t="e">
        <f>VLOOKUP(B5455,'REGISTRO ABONOS'!$B$8:$BC$10012,54,0)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J5456">
        <f t="shared" si="90"/>
        <v>105000</v>
      </c>
      <c r="K5456" t="e">
        <f>VLOOKUP(B5456,'REGISTRO ABONOS'!$B$8:$BC$10012,54,0)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90"/>
        <v>105000</v>
      </c>
      <c r="K5457" t="e">
        <f>VLOOKUP(B5457,'REGISTRO ABONOS'!$B$8:$BC$10012,54,0)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J5458">
        <f t="shared" si="90"/>
        <v>105000</v>
      </c>
      <c r="K5458" t="e">
        <f>VLOOKUP(B5458,'REGISTRO ABONOS'!$B$8:$BC$10012,54,0)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J5459">
        <f t="shared" si="90"/>
        <v>105000</v>
      </c>
      <c r="K5459" t="e">
        <f>VLOOKUP(B5459,'REGISTRO ABONOS'!$B$8:$BC$10012,54,0)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90"/>
        <v>105000</v>
      </c>
      <c r="K5460" t="e">
        <f>VLOOKUP(B5460,'REGISTRO ABONOS'!$B$8:$BC$10012,54,0)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90"/>
        <v>105000</v>
      </c>
      <c r="K5461" t="e">
        <f>VLOOKUP(B5461,'REGISTRO ABONOS'!$B$8:$BC$10012,54,0)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90"/>
        <v>105000</v>
      </c>
      <c r="K5462" t="e">
        <f>VLOOKUP(B5462,'REGISTRO ABONOS'!$B$8:$BC$10012,54,0)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90"/>
        <v>105000</v>
      </c>
      <c r="K5463" t="e">
        <f>VLOOKUP(B5463,'REGISTRO ABONOS'!$B$8:$BC$10012,54,0)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90"/>
        <v>105000</v>
      </c>
      <c r="K5464" t="e">
        <f>VLOOKUP(B5464,'REGISTRO ABONOS'!$B$8:$BC$10012,54,0)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J5465">
        <f t="shared" si="90"/>
        <v>105000</v>
      </c>
      <c r="K5465" t="e">
        <f>VLOOKUP(B5465,'REGISTRO ABONOS'!$B$8:$BC$10012,54,0)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90"/>
        <v>105000</v>
      </c>
      <c r="K5466" t="e">
        <f>VLOOKUP(B5466,'REGISTRO ABONOS'!$B$8:$BC$10012,54,0)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90"/>
        <v>105000</v>
      </c>
      <c r="K5467" t="e">
        <f>VLOOKUP(B5467,'REGISTRO ABONOS'!$B$8:$BC$10012,54,0)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90"/>
        <v>105000</v>
      </c>
      <c r="K5468" t="e">
        <f>VLOOKUP(B5468,'REGISTRO ABONOS'!$B$8:$BC$10012,54,0)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90"/>
        <v>105000</v>
      </c>
      <c r="K5469" t="e">
        <f>VLOOKUP(B5469,'REGISTRO ABONOS'!$B$8:$BC$10012,54,0)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90"/>
        <v>105000</v>
      </c>
      <c r="K5470" t="e">
        <f>VLOOKUP(B5470,'REGISTRO ABONOS'!$B$8:$BC$10012,54,0)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90"/>
        <v>105000</v>
      </c>
      <c r="K5471" t="e">
        <f>VLOOKUP(B5471,'REGISTRO ABONOS'!$B$8:$BC$10012,54,0)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J5472">
        <f t="shared" si="90"/>
        <v>105000</v>
      </c>
      <c r="K5472" t="e">
        <f>VLOOKUP(B5472,'REGISTRO ABONOS'!$B$8:$BC$10012,54,0)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90"/>
        <v>105000</v>
      </c>
      <c r="K5473" t="e">
        <f>VLOOKUP(B5473,'REGISTRO ABONOS'!$B$8:$BC$10012,54,0)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90"/>
        <v>105000</v>
      </c>
      <c r="K5474" t="e">
        <f>VLOOKUP(B5474,'REGISTRO ABONOS'!$B$8:$BC$10012,54,0)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90"/>
        <v>105000</v>
      </c>
      <c r="K5475" t="e">
        <f>VLOOKUP(B5475,'REGISTRO ABONOS'!$B$8:$BC$10012,54,0)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J5476">
        <f t="shared" si="90"/>
        <v>105000</v>
      </c>
      <c r="K5476" t="e">
        <f>VLOOKUP(B5476,'REGISTRO ABONOS'!$B$8:$BC$10012,54,0)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90"/>
        <v>105000</v>
      </c>
      <c r="K5477" t="e">
        <f>VLOOKUP(B5477,'REGISTRO ABONOS'!$B$8:$BC$10012,54,0)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90"/>
        <v>105000</v>
      </c>
      <c r="K5478" t="e">
        <f>VLOOKUP(B5478,'REGISTRO ABONOS'!$B$8:$BC$10012,54,0)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J5479">
        <f t="shared" si="90"/>
        <v>105000</v>
      </c>
      <c r="K5479" t="e">
        <f>VLOOKUP(B5479,'REGISTRO ABONOS'!$B$8:$BC$10012,54,0)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90"/>
        <v>105000</v>
      </c>
      <c r="K5480" t="e">
        <f>VLOOKUP(B5480,'REGISTRO ABONOS'!$B$8:$BC$10012,54,0)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90"/>
        <v>105000</v>
      </c>
      <c r="K5481" t="e">
        <f>VLOOKUP(B5481,'REGISTRO ABONOS'!$B$8:$BC$10012,54,0)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90"/>
        <v>105000</v>
      </c>
      <c r="K5482" t="e">
        <f>VLOOKUP(B5482,'REGISTRO ABONOS'!$B$8:$BC$10012,54,0)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90"/>
        <v>105000</v>
      </c>
      <c r="K5483" t="e">
        <f>VLOOKUP(B5483,'REGISTRO ABONOS'!$B$8:$BC$10012,54,0)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90"/>
        <v>105000</v>
      </c>
      <c r="K5484" t="e">
        <f>VLOOKUP(B5484,'REGISTRO ABONOS'!$B$8:$BC$10012,54,0)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90"/>
        <v>105000</v>
      </c>
      <c r="K5485" t="e">
        <f>VLOOKUP(B5485,'REGISTRO ABONOS'!$B$8:$BC$10012,54,0)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90"/>
        <v>105000</v>
      </c>
      <c r="K5486" t="e">
        <f>VLOOKUP(B5486,'REGISTRO ABONOS'!$B$8:$BC$10012,54,0)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90"/>
        <v>105000</v>
      </c>
      <c r="K5487" t="e">
        <f>VLOOKUP(B5487,'REGISTRO ABONOS'!$B$8:$BC$10012,54,0)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90"/>
        <v>105000</v>
      </c>
      <c r="K5488" t="e">
        <f>VLOOKUP(B5488,'REGISTRO ABONOS'!$B$8:$BC$10012,54,0)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90"/>
        <v>105000</v>
      </c>
      <c r="K5489" t="e">
        <f>VLOOKUP(B5489,'REGISTRO ABONOS'!$B$8:$BC$10012,54,0)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90"/>
        <v>105000</v>
      </c>
      <c r="K5490" t="e">
        <f>VLOOKUP(B5490,'REGISTRO ABONOS'!$B$8:$BC$10012,54,0)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90"/>
        <v>105000</v>
      </c>
      <c r="K5491" t="e">
        <f>VLOOKUP(B5491,'REGISTRO ABONOS'!$B$8:$BC$10012,54,0)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90"/>
        <v>105000</v>
      </c>
      <c r="K5492" t="e">
        <f>VLOOKUP(B5492,'REGISTRO ABONOS'!$B$8:$BC$10012,54,0)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90"/>
        <v>105000</v>
      </c>
      <c r="K5493" t="e">
        <f>VLOOKUP(B5493,'REGISTRO ABONOS'!$B$8:$BC$10012,54,0)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ABONOS'!$B$8:$BC$10012,54,0)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1"/>
        <v>105000</v>
      </c>
      <c r="K5495" t="e">
        <f>VLOOKUP(B5495,'REGISTRO ABONOS'!$B$8:$BC$10012,54,0)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1"/>
        <v>105000</v>
      </c>
      <c r="K5496" t="e">
        <f>VLOOKUP(B5496,'REGISTRO ABONOS'!$B$8:$BC$10012,54,0)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J5497">
        <f t="shared" si="91"/>
        <v>105000</v>
      </c>
      <c r="K5497" t="e">
        <f>VLOOKUP(B5497,'REGISTRO ABONOS'!$B$8:$BC$10012,54,0)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1"/>
        <v>105000</v>
      </c>
      <c r="K5498" t="e">
        <f>VLOOKUP(B5498,'REGISTRO ABONOS'!$B$8:$BC$10012,54,0)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1"/>
        <v>105000</v>
      </c>
      <c r="K5499" t="e">
        <f>VLOOKUP(B5499,'REGISTRO ABONOS'!$B$8:$BC$10012,54,0)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1"/>
        <v>105000</v>
      </c>
      <c r="K5500" t="e">
        <f>VLOOKUP(B5500,'REGISTRO ABONOS'!$B$8:$BC$10012,54,0)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1"/>
        <v>105000</v>
      </c>
      <c r="K5501" t="e">
        <f>VLOOKUP(B5501,'REGISTRO ABONOS'!$B$8:$BC$10012,54,0)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1"/>
        <v>105000</v>
      </c>
      <c r="K5502" t="e">
        <f>VLOOKUP(B5502,'REGISTRO ABONOS'!$B$8:$BC$10012,54,0)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1"/>
        <v>105000</v>
      </c>
      <c r="K5503" t="e">
        <f>VLOOKUP(B5503,'REGISTRO ABONOS'!$B$8:$BC$10012,54,0)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1"/>
        <v>105000</v>
      </c>
      <c r="K5504" t="e">
        <f>VLOOKUP(B5504,'REGISTRO ABONOS'!$B$8:$BC$10012,54,0)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1"/>
        <v>105000</v>
      </c>
      <c r="K5505" t="e">
        <f>VLOOKUP(B5505,'REGISTRO ABONOS'!$B$8:$BC$10012,54,0)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1"/>
        <v>105000</v>
      </c>
      <c r="K5506" t="e">
        <f>VLOOKUP(B5506,'REGISTRO ABONOS'!$B$8:$BC$10012,54,0)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1"/>
        <v>105000</v>
      </c>
      <c r="K5507" t="e">
        <f>VLOOKUP(B5507,'REGISTRO ABONOS'!$B$8:$BC$10012,54,0)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1"/>
        <v>105000</v>
      </c>
      <c r="K5508" t="e">
        <f>VLOOKUP(B5508,'REGISTRO ABONOS'!$B$8:$BC$10012,54,0)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1"/>
        <v>105000</v>
      </c>
      <c r="K5509" t="e">
        <f>VLOOKUP(B5509,'REGISTRO ABONOS'!$B$8:$BC$10012,54,0)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1"/>
        <v>105000</v>
      </c>
      <c r="K5510" t="e">
        <f>VLOOKUP(B5510,'REGISTRO ABONOS'!$B$8:$BC$10012,54,0)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1"/>
        <v>105000</v>
      </c>
      <c r="K5511" t="e">
        <f>VLOOKUP(B5511,'REGISTRO ABONOS'!$B$8:$BC$10012,54,0)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1"/>
        <v>105000</v>
      </c>
      <c r="K5512" t="e">
        <f>VLOOKUP(B5512,'REGISTRO ABONOS'!$B$8:$BC$10012,54,0)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1"/>
        <v>105000</v>
      </c>
      <c r="K5513" t="e">
        <f>VLOOKUP(B5513,'REGISTRO ABONOS'!$B$8:$BC$10012,54,0)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1"/>
        <v>105000</v>
      </c>
      <c r="K5514" t="e">
        <f>VLOOKUP(B5514,'REGISTRO ABONOS'!$B$8:$BC$10012,54,0)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1"/>
        <v>105000</v>
      </c>
      <c r="K5515" t="e">
        <f>VLOOKUP(B5515,'REGISTRO ABONOS'!$B$8:$BC$10012,54,0)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1"/>
        <v>105000</v>
      </c>
      <c r="K5516" t="e">
        <f>VLOOKUP(B5516,'REGISTRO ABONOS'!$B$8:$BC$10012,54,0)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J5517">
        <f t="shared" si="91"/>
        <v>105000</v>
      </c>
      <c r="K5517" t="e">
        <f>VLOOKUP(B5517,'REGISTRO ABONOS'!$B$8:$BC$10012,54,0)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1"/>
        <v>105000</v>
      </c>
      <c r="K5518" t="e">
        <f>VLOOKUP(B5518,'REGISTRO ABONOS'!$B$8:$BC$10012,54,0)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1"/>
        <v>105000</v>
      </c>
      <c r="K5519" t="e">
        <f>VLOOKUP(B5519,'REGISTRO ABONOS'!$B$8:$BC$10012,54,0)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J5520">
        <f t="shared" si="91"/>
        <v>105000</v>
      </c>
      <c r="K5520" t="e">
        <f>VLOOKUP(B5520,'REGISTRO ABONOS'!$B$8:$BC$10012,54,0)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J5521">
        <f t="shared" si="91"/>
        <v>105000</v>
      </c>
      <c r="K5521" t="e">
        <f>VLOOKUP(B5521,'REGISTRO ABONOS'!$B$8:$BC$10012,54,0)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J5522">
        <f t="shared" si="91"/>
        <v>105000</v>
      </c>
      <c r="K5522" t="e">
        <f>VLOOKUP(B5522,'REGISTRO ABONOS'!$B$8:$BC$10012,54,0)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J5523">
        <f t="shared" si="91"/>
        <v>105000</v>
      </c>
      <c r="K5523" t="e">
        <f>VLOOKUP(B5523,'REGISTRO ABONOS'!$B$8:$BC$10012,54,0)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1"/>
        <v>105000</v>
      </c>
      <c r="K5524" t="e">
        <f>VLOOKUP(B5524,'REGISTRO ABONOS'!$B$8:$BC$10012,54,0)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1"/>
        <v>105000</v>
      </c>
      <c r="K5525" t="e">
        <f>VLOOKUP(B5525,'REGISTRO ABONOS'!$B$8:$BC$10012,54,0)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1"/>
        <v>105000</v>
      </c>
      <c r="K5526" t="e">
        <f>VLOOKUP(B5526,'REGISTRO ABONOS'!$B$8:$BC$10012,54,0)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1"/>
        <v>105000</v>
      </c>
      <c r="K5527" t="e">
        <f>VLOOKUP(B5527,'REGISTRO ABONOS'!$B$8:$BC$10012,54,0)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J5528">
        <f t="shared" si="91"/>
        <v>105000</v>
      </c>
      <c r="K5528" t="e">
        <f>VLOOKUP(B5528,'REGISTRO ABONOS'!$B$8:$BC$10012,54,0)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1"/>
        <v>105000</v>
      </c>
      <c r="K5529" t="e">
        <f>VLOOKUP(B5529,'REGISTRO ABONOS'!$B$8:$BC$10012,54,0)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1"/>
        <v>105000</v>
      </c>
      <c r="K5530" t="e">
        <f>VLOOKUP(B5530,'REGISTRO ABONOS'!$B$8:$BC$10012,54,0)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1"/>
        <v>105000</v>
      </c>
      <c r="K5531" t="e">
        <f>VLOOKUP(B5531,'REGISTRO ABONOS'!$B$8:$BC$10012,54,0)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J5532">
        <f t="shared" si="91"/>
        <v>105000</v>
      </c>
      <c r="K5532" t="e">
        <f>VLOOKUP(B5532,'REGISTRO ABONOS'!$B$8:$BC$10012,54,0)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1"/>
        <v>105000</v>
      </c>
      <c r="K5533" t="e">
        <f>VLOOKUP(B5533,'REGISTRO ABONOS'!$B$8:$BC$10012,54,0)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1"/>
        <v>105000</v>
      </c>
      <c r="K5534" t="e">
        <f>VLOOKUP(B5534,'REGISTRO ABONOS'!$B$8:$BC$10012,54,0)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1"/>
        <v>105000</v>
      </c>
      <c r="K5535" t="e">
        <f>VLOOKUP(B5535,'REGISTRO ABONOS'!$B$8:$BC$10012,54,0)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1"/>
        <v>105000</v>
      </c>
      <c r="K5536" t="e">
        <f>VLOOKUP(B5536,'REGISTRO ABONOS'!$B$8:$BC$10012,54,0)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J5537">
        <f t="shared" si="91"/>
        <v>105000</v>
      </c>
      <c r="K5537" t="e">
        <f>VLOOKUP(B5537,'REGISTRO ABONOS'!$B$8:$BC$10012,54,0)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1"/>
        <v>105000</v>
      </c>
      <c r="K5538" t="e">
        <f>VLOOKUP(B5538,'REGISTRO ABONOS'!$B$8:$BC$10012,54,0)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1"/>
        <v>105000</v>
      </c>
      <c r="K5539" t="e">
        <f>VLOOKUP(B5539,'REGISTRO ABONOS'!$B$8:$BC$10012,54,0)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1"/>
        <v>105000</v>
      </c>
      <c r="K5540" t="e">
        <f>VLOOKUP(B5540,'REGISTRO ABONOS'!$B$8:$BC$10012,54,0)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1"/>
        <v>105000</v>
      </c>
      <c r="K5541" t="e">
        <f>VLOOKUP(B5541,'REGISTRO ABONOS'!$B$8:$BC$10012,54,0)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1"/>
        <v>105000</v>
      </c>
      <c r="K5542" t="e">
        <f>VLOOKUP(B5542,'REGISTRO ABONOS'!$B$8:$BC$10012,54,0)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1"/>
        <v>105000</v>
      </c>
      <c r="K5543" t="e">
        <f>VLOOKUP(B5543,'REGISTRO ABONOS'!$B$8:$BC$10012,54,0)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1"/>
        <v>105000</v>
      </c>
      <c r="K5544" t="e">
        <f>VLOOKUP(B5544,'REGISTRO ABONOS'!$B$8:$BC$10012,54,0)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J5545">
        <f t="shared" si="91"/>
        <v>105000</v>
      </c>
      <c r="K5545" t="e">
        <f>VLOOKUP(B5545,'REGISTRO ABONOS'!$B$8:$BC$10012,54,0)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1"/>
        <v>105000</v>
      </c>
      <c r="K5546" t="e">
        <f>VLOOKUP(B5546,'REGISTRO ABONOS'!$B$8:$BC$10012,54,0)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1"/>
        <v>105000</v>
      </c>
      <c r="K5547" t="e">
        <f>VLOOKUP(B5547,'REGISTRO ABONOS'!$B$8:$BC$10012,54,0)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1"/>
        <v>105000</v>
      </c>
      <c r="K5548" t="e">
        <f>VLOOKUP(B5548,'REGISTRO ABONOS'!$B$8:$BC$10012,54,0)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1"/>
        <v>105000</v>
      </c>
      <c r="K5549" t="e">
        <f>VLOOKUP(B5549,'REGISTRO ABONOS'!$B$8:$BC$10012,54,0)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J5550">
        <f t="shared" si="91"/>
        <v>105000</v>
      </c>
      <c r="K5550" t="e">
        <f>VLOOKUP(B5550,'REGISTRO ABONOS'!$B$8:$BC$10012,54,0)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1"/>
        <v>105000</v>
      </c>
      <c r="K5551" t="e">
        <f>VLOOKUP(B5551,'REGISTRO ABONOS'!$B$8:$BC$10012,54,0)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J5552">
        <f t="shared" si="91"/>
        <v>105000</v>
      </c>
      <c r="K5552" t="e">
        <f>VLOOKUP(B5552,'REGISTRO ABONOS'!$B$8:$BC$10012,54,0)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1"/>
        <v>105000</v>
      </c>
      <c r="K5553" t="e">
        <f>VLOOKUP(B5553,'REGISTRO ABONOS'!$B$8:$BC$10012,54,0)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1"/>
        <v>105000</v>
      </c>
      <c r="K5554" t="e">
        <f>VLOOKUP(B5554,'REGISTRO ABONOS'!$B$8:$BC$10012,54,0)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J5555">
        <f t="shared" si="91"/>
        <v>105000</v>
      </c>
      <c r="K5555" t="e">
        <f>VLOOKUP(B5555,'REGISTRO ABONOS'!$B$8:$BC$10012,54,0)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1"/>
        <v>105000</v>
      </c>
      <c r="K5556" t="e">
        <f>VLOOKUP(B5556,'REGISTRO ABONOS'!$B$8:$BC$10012,54,0)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1"/>
        <v>105000</v>
      </c>
      <c r="K5557" t="e">
        <f>VLOOKUP(B5557,'REGISTRO ABONOS'!$B$8:$BC$10012,54,0)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ABONOS'!$B$8:$BC$10012,54,0)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J5559">
        <f t="shared" si="92"/>
        <v>105000</v>
      </c>
      <c r="K5559" t="e">
        <f>VLOOKUP(B5559,'REGISTRO ABONOS'!$B$8:$BC$10012,54,0)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J5560">
        <f t="shared" si="92"/>
        <v>105000</v>
      </c>
      <c r="K5560" t="e">
        <f>VLOOKUP(B5560,'REGISTRO ABONOS'!$B$8:$BC$10012,54,0)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2"/>
        <v>105000</v>
      </c>
      <c r="K5561" t="e">
        <f>VLOOKUP(B5561,'REGISTRO ABONOS'!$B$8:$BC$10012,54,0)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2"/>
        <v>105000</v>
      </c>
      <c r="K5562" t="e">
        <f>VLOOKUP(B5562,'REGISTRO ABONOS'!$B$8:$BC$10012,54,0)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2"/>
        <v>105000</v>
      </c>
      <c r="K5563" t="e">
        <f>VLOOKUP(B5563,'REGISTRO ABONOS'!$B$8:$BC$10012,54,0)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J5564">
        <f t="shared" si="92"/>
        <v>105000</v>
      </c>
      <c r="K5564" t="e">
        <f>VLOOKUP(B5564,'REGISTRO ABONOS'!$B$8:$BC$10012,54,0)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2"/>
        <v>105000</v>
      </c>
      <c r="K5565" t="e">
        <f>VLOOKUP(B5565,'REGISTRO ABONOS'!$B$8:$BC$10012,54,0)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2"/>
        <v>105000</v>
      </c>
      <c r="K5566" t="e">
        <f>VLOOKUP(B5566,'REGISTRO ABONOS'!$B$8:$BC$10012,54,0)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2"/>
        <v>105000</v>
      </c>
      <c r="K5567" t="e">
        <f>VLOOKUP(B5567,'REGISTRO ABONOS'!$B$8:$BC$10012,54,0)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2"/>
        <v>105000</v>
      </c>
      <c r="K5568" t="e">
        <f>VLOOKUP(B5568,'REGISTRO ABONOS'!$B$8:$BC$10012,54,0)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J5569">
        <f t="shared" si="92"/>
        <v>105000</v>
      </c>
      <c r="K5569" t="e">
        <f>VLOOKUP(B5569,'REGISTRO ABONOS'!$B$8:$BC$10012,54,0)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2"/>
        <v>105000</v>
      </c>
      <c r="K5570" t="e">
        <f>VLOOKUP(B5570,'REGISTRO ABONOS'!$B$8:$BC$10012,54,0)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2"/>
        <v>105000</v>
      </c>
      <c r="K5571" t="e">
        <f>VLOOKUP(B5571,'REGISTRO ABONOS'!$B$8:$BC$10012,54,0)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2"/>
        <v>105000</v>
      </c>
      <c r="K5572" t="e">
        <f>VLOOKUP(B5572,'REGISTRO ABONOS'!$B$8:$BC$10012,54,0)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2"/>
        <v>105000</v>
      </c>
      <c r="K5573" t="e">
        <f>VLOOKUP(B5573,'REGISTRO ABONOS'!$B$8:$BC$10012,54,0)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2"/>
        <v>105000</v>
      </c>
      <c r="K5574" t="e">
        <f>VLOOKUP(B5574,'REGISTRO ABONOS'!$B$8:$BC$10012,54,0)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2"/>
        <v>105000</v>
      </c>
      <c r="K5575" t="e">
        <f>VLOOKUP(B5575,'REGISTRO ABONOS'!$B$8:$BC$10012,54,0)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2"/>
        <v>105000</v>
      </c>
      <c r="K5576" t="e">
        <f>VLOOKUP(B5576,'REGISTRO ABONOS'!$B$8:$BC$10012,54,0)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2"/>
        <v>105000</v>
      </c>
      <c r="K5577" t="e">
        <f>VLOOKUP(B5577,'REGISTRO ABONOS'!$B$8:$BC$10012,54,0)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2"/>
        <v>105000</v>
      </c>
      <c r="K5578" t="e">
        <f>VLOOKUP(B5578,'REGISTRO ABONOS'!$B$8:$BC$10012,54,0)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2"/>
        <v>105000</v>
      </c>
      <c r="K5579" t="e">
        <f>VLOOKUP(B5579,'REGISTRO ABONOS'!$B$8:$BC$10012,54,0)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2"/>
        <v>105000</v>
      </c>
      <c r="K5580" t="e">
        <f>VLOOKUP(B5580,'REGISTRO ABONOS'!$B$8:$BC$10012,54,0)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2"/>
        <v>105000</v>
      </c>
      <c r="K5581" t="e">
        <f>VLOOKUP(B5581,'REGISTRO ABONOS'!$B$8:$BC$10012,54,0)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J5582">
        <f t="shared" si="92"/>
        <v>105000</v>
      </c>
      <c r="K5582" t="e">
        <f>VLOOKUP(B5582,'REGISTRO ABONOS'!$B$8:$BC$10012,54,0)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2"/>
        <v>105000</v>
      </c>
      <c r="K5583" t="e">
        <f>VLOOKUP(B5583,'REGISTRO ABONOS'!$B$8:$BC$10012,54,0)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J5584">
        <f t="shared" si="92"/>
        <v>105000</v>
      </c>
      <c r="K5584" t="e">
        <f>VLOOKUP(B5584,'REGISTRO ABONOS'!$B$8:$BC$10012,54,0)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2"/>
        <v>105000</v>
      </c>
      <c r="K5585" t="e">
        <f>VLOOKUP(B5585,'REGISTRO ABONOS'!$B$8:$BC$10012,54,0)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2"/>
        <v>105000</v>
      </c>
      <c r="K5586" t="e">
        <f>VLOOKUP(B5586,'REGISTRO ABONOS'!$B$8:$BC$10012,54,0)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2"/>
        <v>105000</v>
      </c>
      <c r="K5587" t="e">
        <f>VLOOKUP(B5587,'REGISTRO ABONOS'!$B$8:$BC$10012,54,0)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2"/>
        <v>105000</v>
      </c>
      <c r="K5588" t="e">
        <f>VLOOKUP(B5588,'REGISTRO ABONOS'!$B$8:$BC$10012,54,0)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2"/>
        <v>105000</v>
      </c>
      <c r="K5589" t="e">
        <f>VLOOKUP(B5589,'REGISTRO ABONOS'!$B$8:$BC$10012,54,0)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2"/>
        <v>105000</v>
      </c>
      <c r="K5590" t="e">
        <f>VLOOKUP(B5590,'REGISTRO ABONOS'!$B$8:$BC$10012,54,0)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2"/>
        <v>105000</v>
      </c>
      <c r="K5591" t="e">
        <f>VLOOKUP(B5591,'REGISTRO ABONOS'!$B$8:$BC$10012,54,0)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2"/>
        <v>105000</v>
      </c>
      <c r="K5592" t="e">
        <f>VLOOKUP(B5592,'REGISTRO ABONOS'!$B$8:$BC$10012,54,0)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2"/>
        <v>105000</v>
      </c>
      <c r="K5593" t="e">
        <f>VLOOKUP(B5593,'REGISTRO ABONOS'!$B$8:$BC$10012,54,0)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J5594">
        <f t="shared" si="92"/>
        <v>105000</v>
      </c>
      <c r="K5594" t="e">
        <f>VLOOKUP(B5594,'REGISTRO ABONOS'!$B$8:$BC$10012,54,0)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2"/>
        <v>105000</v>
      </c>
      <c r="K5595" t="e">
        <f>VLOOKUP(B5595,'REGISTRO ABONOS'!$B$8:$BC$10012,54,0)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2"/>
        <v>105000</v>
      </c>
      <c r="K5596" t="e">
        <f>VLOOKUP(B5596,'REGISTRO ABONOS'!$B$8:$BC$10012,54,0)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2"/>
        <v>105000</v>
      </c>
      <c r="K5597" t="e">
        <f>VLOOKUP(B5597,'REGISTRO ABONOS'!$B$8:$BC$10012,54,0)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2"/>
        <v>105000</v>
      </c>
      <c r="K5598" t="e">
        <f>VLOOKUP(B5598,'REGISTRO ABONOS'!$B$8:$BC$10012,54,0)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2"/>
        <v>105000</v>
      </c>
      <c r="K5599" t="e">
        <f>VLOOKUP(B5599,'REGISTRO ABONOS'!$B$8:$BC$10012,54,0)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2"/>
        <v>105000</v>
      </c>
      <c r="K5600" t="e">
        <f>VLOOKUP(B5600,'REGISTRO ABONOS'!$B$8:$BC$10012,54,0)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2"/>
        <v>105000</v>
      </c>
      <c r="K5601" t="e">
        <f>VLOOKUP(B5601,'REGISTRO ABONOS'!$B$8:$BC$10012,54,0)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2"/>
        <v>105000</v>
      </c>
      <c r="K5602" t="e">
        <f>VLOOKUP(B5602,'REGISTRO ABONOS'!$B$8:$BC$10012,54,0)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2"/>
        <v>105000</v>
      </c>
      <c r="K5603" t="e">
        <f>VLOOKUP(B5603,'REGISTRO ABONOS'!$B$8:$BC$10012,54,0)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2"/>
        <v>105000</v>
      </c>
      <c r="K5604" t="e">
        <f>VLOOKUP(B5604,'REGISTRO ABONOS'!$B$8:$BC$10012,54,0)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J5605">
        <f t="shared" si="92"/>
        <v>105000</v>
      </c>
      <c r="K5605" t="e">
        <f>VLOOKUP(B5605,'REGISTRO ABONOS'!$B$8:$BC$10012,54,0)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2"/>
        <v>105000</v>
      </c>
      <c r="K5606" t="e">
        <f>VLOOKUP(B5606,'REGISTRO ABONOS'!$B$8:$BC$10012,54,0)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2"/>
        <v>105000</v>
      </c>
      <c r="K5607" t="e">
        <f>VLOOKUP(B5607,'REGISTRO ABONOS'!$B$8:$BC$10012,54,0)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2"/>
        <v>105000</v>
      </c>
      <c r="K5608" t="e">
        <f>VLOOKUP(B5608,'REGISTRO ABONOS'!$B$8:$BC$10012,54,0)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J5609">
        <f t="shared" si="92"/>
        <v>105000</v>
      </c>
      <c r="K5609" t="e">
        <f>VLOOKUP(B5609,'REGISTRO ABONOS'!$B$8:$BC$10012,54,0)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J5610">
        <f t="shared" si="92"/>
        <v>105000</v>
      </c>
      <c r="K5610" t="e">
        <f>VLOOKUP(B5610,'REGISTRO ABONOS'!$B$8:$BC$10012,54,0)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J5611">
        <f t="shared" si="92"/>
        <v>105000</v>
      </c>
      <c r="K5611" t="e">
        <f>VLOOKUP(B5611,'REGISTRO ABONOS'!$B$8:$BC$10012,54,0)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2"/>
        <v>105000</v>
      </c>
      <c r="K5612" t="e">
        <f>VLOOKUP(B5612,'REGISTRO ABONOS'!$B$8:$BC$10012,54,0)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2"/>
        <v>105000</v>
      </c>
      <c r="K5613" t="e">
        <f>VLOOKUP(B5613,'REGISTRO ABONOS'!$B$8:$BC$10012,54,0)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2"/>
        <v>105000</v>
      </c>
      <c r="K5614" t="e">
        <f>VLOOKUP(B5614,'REGISTRO ABONOS'!$B$8:$BC$10012,54,0)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2"/>
        <v>105000</v>
      </c>
      <c r="K5615" t="e">
        <f>VLOOKUP(B5615,'REGISTRO ABONOS'!$B$8:$BC$10012,54,0)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2"/>
        <v>105000</v>
      </c>
      <c r="K5616" t="e">
        <f>VLOOKUP(B5616,'REGISTRO ABONOS'!$B$8:$BC$10012,54,0)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2"/>
        <v>105000</v>
      </c>
      <c r="K5617" t="e">
        <f>VLOOKUP(B5617,'REGISTRO ABONOS'!$B$8:$BC$10012,54,0)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2"/>
        <v>105000</v>
      </c>
      <c r="K5618" t="e">
        <f>VLOOKUP(B5618,'REGISTRO ABONOS'!$B$8:$BC$10012,54,0)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2"/>
        <v>105000</v>
      </c>
      <c r="K5619" t="e">
        <f>VLOOKUP(B5619,'REGISTRO ABONOS'!$B$8:$BC$10012,54,0)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2"/>
        <v>105000</v>
      </c>
      <c r="K5620" t="e">
        <f>VLOOKUP(B5620,'REGISTRO ABONOS'!$B$8:$BC$10012,54,0)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2"/>
        <v>105000</v>
      </c>
      <c r="K5621" t="e">
        <f>VLOOKUP(B5621,'REGISTRO ABONOS'!$B$8:$BC$10012,54,0)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ABONOS'!$B$8:$BC$10012,54,0)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J5623">
        <f t="shared" si="93"/>
        <v>105000</v>
      </c>
      <c r="K5623" t="e">
        <f>VLOOKUP(B5623,'REGISTRO ABONOS'!$B$8:$BC$10012,54,0)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3"/>
        <v>105000</v>
      </c>
      <c r="K5624" t="e">
        <f>VLOOKUP(B5624,'REGISTRO ABONOS'!$B$8:$BC$10012,54,0)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J5625">
        <f t="shared" si="93"/>
        <v>105000</v>
      </c>
      <c r="K5625" t="e">
        <f>VLOOKUP(B5625,'REGISTRO ABONOS'!$B$8:$BC$10012,54,0)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3"/>
        <v>105000</v>
      </c>
      <c r="K5626" t="e">
        <f>VLOOKUP(B5626,'REGISTRO ABONOS'!$B$8:$BC$10012,54,0)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J5627">
        <f t="shared" si="93"/>
        <v>105000</v>
      </c>
      <c r="K5627" t="e">
        <f>VLOOKUP(B5627,'REGISTRO ABONOS'!$B$8:$BC$10012,54,0)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3"/>
        <v>105000</v>
      </c>
      <c r="K5628" t="e">
        <f>VLOOKUP(B5628,'REGISTRO ABONOS'!$B$8:$BC$10012,54,0)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3"/>
        <v>105000</v>
      </c>
      <c r="K5629" t="e">
        <f>VLOOKUP(B5629,'REGISTRO ABONOS'!$B$8:$BC$10012,54,0)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J5630">
        <f t="shared" si="93"/>
        <v>105000</v>
      </c>
      <c r="K5630" t="e">
        <f>VLOOKUP(B5630,'REGISTRO ABONOS'!$B$8:$BC$10012,54,0)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3"/>
        <v>105000</v>
      </c>
      <c r="K5631" t="e">
        <f>VLOOKUP(B5631,'REGISTRO ABONOS'!$B$8:$BC$10012,54,0)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3"/>
        <v>105000</v>
      </c>
      <c r="K5632" t="e">
        <f>VLOOKUP(B5632,'REGISTRO ABONOS'!$B$8:$BC$10012,54,0)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3"/>
        <v>105000</v>
      </c>
      <c r="K5633" t="e">
        <f>VLOOKUP(B5633,'REGISTRO ABONOS'!$B$8:$BC$10012,54,0)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3"/>
        <v>105000</v>
      </c>
      <c r="K5634" t="e">
        <f>VLOOKUP(B5634,'REGISTRO ABONOS'!$B$8:$BC$10012,54,0)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J5635">
        <f t="shared" si="93"/>
        <v>105000</v>
      </c>
      <c r="K5635" t="e">
        <f>VLOOKUP(B5635,'REGISTRO ABONOS'!$B$8:$BC$10012,54,0)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3"/>
        <v>105000</v>
      </c>
      <c r="K5636" t="e">
        <f>VLOOKUP(B5636,'REGISTRO ABONOS'!$B$8:$BC$10012,54,0)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J5637">
        <f t="shared" si="93"/>
        <v>105000</v>
      </c>
      <c r="K5637" t="e">
        <f>VLOOKUP(B5637,'REGISTRO ABONOS'!$B$8:$BC$10012,54,0)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J5638">
        <f t="shared" si="93"/>
        <v>105000</v>
      </c>
      <c r="K5638" t="e">
        <f>VLOOKUP(B5638,'REGISTRO ABONOS'!$B$8:$BC$10012,54,0)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3"/>
        <v>105000</v>
      </c>
      <c r="K5639" t="e">
        <f>VLOOKUP(B5639,'REGISTRO ABONOS'!$B$8:$BC$10012,54,0)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3"/>
        <v>105000</v>
      </c>
      <c r="K5640" t="e">
        <f>VLOOKUP(B5640,'REGISTRO ABONOS'!$B$8:$BC$10012,54,0)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3"/>
        <v>105000</v>
      </c>
      <c r="K5641" t="e">
        <f>VLOOKUP(B5641,'REGISTRO ABONOS'!$B$8:$BC$10012,54,0)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J5642">
        <f t="shared" si="93"/>
        <v>105000</v>
      </c>
      <c r="K5642" t="e">
        <f>VLOOKUP(B5642,'REGISTRO ABONOS'!$B$8:$BC$10012,54,0)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3"/>
        <v>105000</v>
      </c>
      <c r="K5643" t="e">
        <f>VLOOKUP(B5643,'REGISTRO ABONOS'!$B$8:$BC$10012,54,0)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3"/>
        <v>105000</v>
      </c>
      <c r="K5644" t="e">
        <f>VLOOKUP(B5644,'REGISTRO ABONOS'!$B$8:$BC$10012,54,0)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3"/>
        <v>105000</v>
      </c>
      <c r="K5645" t="e">
        <f>VLOOKUP(B5645,'REGISTRO ABONOS'!$B$8:$BC$10012,54,0)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3"/>
        <v>105000</v>
      </c>
      <c r="K5646" t="e">
        <f>VLOOKUP(B5646,'REGISTRO ABONOS'!$B$8:$BC$10012,54,0)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3"/>
        <v>105000</v>
      </c>
      <c r="K5647" t="e">
        <f>VLOOKUP(B5647,'REGISTRO ABONOS'!$B$8:$BC$10012,54,0)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3"/>
        <v>105000</v>
      </c>
      <c r="K5648" t="e">
        <f>VLOOKUP(B5648,'REGISTRO ABONOS'!$B$8:$BC$10012,54,0)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3"/>
        <v>105000</v>
      </c>
      <c r="K5649" t="e">
        <f>VLOOKUP(B5649,'REGISTRO ABONOS'!$B$8:$BC$10012,54,0)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3"/>
        <v>105000</v>
      </c>
      <c r="K5650" t="e">
        <f>VLOOKUP(B5650,'REGISTRO ABONOS'!$B$8:$BC$10012,54,0)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3"/>
        <v>105000</v>
      </c>
      <c r="K5651" t="e">
        <f>VLOOKUP(B5651,'REGISTRO ABONOS'!$B$8:$BC$10012,54,0)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3"/>
        <v>105000</v>
      </c>
      <c r="K5652" t="e">
        <f>VLOOKUP(B5652,'REGISTRO ABONOS'!$B$8:$BC$10012,54,0)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3"/>
        <v>105000</v>
      </c>
      <c r="K5653" t="e">
        <f>VLOOKUP(B5653,'REGISTRO ABONOS'!$B$8:$BC$10012,54,0)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3"/>
        <v>105000</v>
      </c>
      <c r="K5654" t="e">
        <f>VLOOKUP(B5654,'REGISTRO ABONOS'!$B$8:$BC$10012,54,0)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3"/>
        <v>105000</v>
      </c>
      <c r="K5655" t="e">
        <f>VLOOKUP(B5655,'REGISTRO ABONOS'!$B$8:$BC$10012,54,0)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J5656">
        <f t="shared" si="93"/>
        <v>105000</v>
      </c>
      <c r="K5656" t="e">
        <f>VLOOKUP(B5656,'REGISTRO ABONOS'!$B$8:$BC$10012,54,0)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3"/>
        <v>105000</v>
      </c>
      <c r="K5657" t="e">
        <f>VLOOKUP(B5657,'REGISTRO ABONOS'!$B$8:$BC$10012,54,0)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J5658">
        <f t="shared" si="93"/>
        <v>105000</v>
      </c>
      <c r="K5658" t="e">
        <f>VLOOKUP(B5658,'REGISTRO ABONOS'!$B$8:$BC$10012,54,0)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3"/>
        <v>105000</v>
      </c>
      <c r="K5659" t="e">
        <f>VLOOKUP(B5659,'REGISTRO ABONOS'!$B$8:$BC$10012,54,0)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3"/>
        <v>105000</v>
      </c>
      <c r="K5660" t="e">
        <f>VLOOKUP(B5660,'REGISTRO ABONOS'!$B$8:$BC$10012,54,0)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J5661">
        <f t="shared" si="93"/>
        <v>105000</v>
      </c>
      <c r="K5661" t="e">
        <f>VLOOKUP(B5661,'REGISTRO ABONOS'!$B$8:$BC$10012,54,0)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3"/>
        <v>105000</v>
      </c>
      <c r="K5662" t="e">
        <f>VLOOKUP(B5662,'REGISTRO ABONOS'!$B$8:$BC$10012,54,0)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3"/>
        <v>105000</v>
      </c>
      <c r="K5663" t="e">
        <f>VLOOKUP(B5663,'REGISTRO ABONOS'!$B$8:$BC$10012,54,0)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3"/>
        <v>105000</v>
      </c>
      <c r="K5664" t="e">
        <f>VLOOKUP(B5664,'REGISTRO ABONOS'!$B$8:$BC$10012,54,0)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3"/>
        <v>105000</v>
      </c>
      <c r="K5665" t="e">
        <f>VLOOKUP(B5665,'REGISTRO ABONOS'!$B$8:$BC$10012,54,0)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3"/>
        <v>105000</v>
      </c>
      <c r="K5666" t="e">
        <f>VLOOKUP(B5666,'REGISTRO ABONOS'!$B$8:$BC$10012,54,0)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3"/>
        <v>105000</v>
      </c>
      <c r="K5667" t="e">
        <f>VLOOKUP(B5667,'REGISTRO ABONOS'!$B$8:$BC$10012,54,0)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3"/>
        <v>105000</v>
      </c>
      <c r="K5668" t="e">
        <f>VLOOKUP(B5668,'REGISTRO ABONOS'!$B$8:$BC$10012,54,0)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3"/>
        <v>105000</v>
      </c>
      <c r="K5669" t="e">
        <f>VLOOKUP(B5669,'REGISTRO ABONOS'!$B$8:$BC$10012,54,0)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3"/>
        <v>105000</v>
      </c>
      <c r="K5670" t="e">
        <f>VLOOKUP(B5670,'REGISTRO ABONOS'!$B$8:$BC$10012,54,0)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3"/>
        <v>105000</v>
      </c>
      <c r="K5671" t="e">
        <f>VLOOKUP(B5671,'REGISTRO ABONOS'!$B$8:$BC$10012,54,0)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3"/>
        <v>105000</v>
      </c>
      <c r="K5672" t="e">
        <f>VLOOKUP(B5672,'REGISTRO ABONOS'!$B$8:$BC$10012,54,0)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3"/>
        <v>105000</v>
      </c>
      <c r="K5673" t="e">
        <f>VLOOKUP(B5673,'REGISTRO ABONOS'!$B$8:$BC$10012,54,0)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3"/>
        <v>105000</v>
      </c>
      <c r="K5674" t="e">
        <f>VLOOKUP(B5674,'REGISTRO ABONOS'!$B$8:$BC$10012,54,0)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3"/>
        <v>105000</v>
      </c>
      <c r="K5675" t="e">
        <f>VLOOKUP(B5675,'REGISTRO ABONOS'!$B$8:$BC$10012,54,0)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3"/>
        <v>105000</v>
      </c>
      <c r="K5676" t="e">
        <f>VLOOKUP(B5676,'REGISTRO ABONOS'!$B$8:$BC$10012,54,0)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3"/>
        <v>105000</v>
      </c>
      <c r="K5677" t="e">
        <f>VLOOKUP(B5677,'REGISTRO ABONOS'!$B$8:$BC$10012,54,0)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3"/>
        <v>105000</v>
      </c>
      <c r="K5678" t="e">
        <f>VLOOKUP(B5678,'REGISTRO ABONOS'!$B$8:$BC$10012,54,0)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3"/>
        <v>105000</v>
      </c>
      <c r="K5679" t="e">
        <f>VLOOKUP(B5679,'REGISTRO ABONOS'!$B$8:$BC$10012,54,0)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3"/>
        <v>105000</v>
      </c>
      <c r="K5680" t="e">
        <f>VLOOKUP(B5680,'REGISTRO ABONOS'!$B$8:$BC$10012,54,0)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3"/>
        <v>105000</v>
      </c>
      <c r="K5681" t="e">
        <f>VLOOKUP(B5681,'REGISTRO ABONOS'!$B$8:$BC$10012,54,0)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J5682">
        <f t="shared" si="93"/>
        <v>105000</v>
      </c>
      <c r="K5682" t="e">
        <f>VLOOKUP(B5682,'REGISTRO ABONOS'!$B$8:$BC$10012,54,0)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3"/>
        <v>105000</v>
      </c>
      <c r="K5683" t="e">
        <f>VLOOKUP(B5683,'REGISTRO ABONOS'!$B$8:$BC$10012,54,0)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3"/>
        <v>105000</v>
      </c>
      <c r="K5684" t="e">
        <f>VLOOKUP(B5684,'REGISTRO ABONOS'!$B$8:$BC$10012,54,0)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3"/>
        <v>105000</v>
      </c>
      <c r="K5685" t="e">
        <f>VLOOKUP(B5685,'REGISTRO ABONOS'!$B$8:$BC$10012,54,0)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ABONOS'!$B$8:$BC$10012,54,0)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J5687">
        <f t="shared" si="94"/>
        <v>105000</v>
      </c>
      <c r="K5687" t="e">
        <f>VLOOKUP(B5687,'REGISTRO ABONOS'!$B$8:$BC$10012,54,0)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4"/>
        <v>105000</v>
      </c>
      <c r="K5688" t="e">
        <f>VLOOKUP(B5688,'REGISTRO ABONOS'!$B$8:$BC$10012,54,0)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4"/>
        <v>105000</v>
      </c>
      <c r="K5689" t="e">
        <f>VLOOKUP(B5689,'REGISTRO ABONOS'!$B$8:$BC$10012,54,0)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J5690">
        <f t="shared" si="94"/>
        <v>105000</v>
      </c>
      <c r="K5690" t="e">
        <f>VLOOKUP(B5690,'REGISTRO ABONOS'!$B$8:$BC$10012,54,0)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4"/>
        <v>105000</v>
      </c>
      <c r="K5691" t="e">
        <f>VLOOKUP(B5691,'REGISTRO ABONOS'!$B$8:$BC$10012,54,0)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4"/>
        <v>105000</v>
      </c>
      <c r="K5692" t="e">
        <f>VLOOKUP(B5692,'REGISTRO ABONOS'!$B$8:$BC$10012,54,0)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4"/>
        <v>105000</v>
      </c>
      <c r="K5693" t="e">
        <f>VLOOKUP(B5693,'REGISTRO ABONOS'!$B$8:$BC$10012,54,0)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4"/>
        <v>105000</v>
      </c>
      <c r="K5694" t="e">
        <f>VLOOKUP(B5694,'REGISTRO ABONOS'!$B$8:$BC$10012,54,0)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4"/>
        <v>105000</v>
      </c>
      <c r="K5695" t="e">
        <f>VLOOKUP(B5695,'REGISTRO ABONOS'!$B$8:$BC$10012,54,0)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4"/>
        <v>105000</v>
      </c>
      <c r="K5696" t="e">
        <f>VLOOKUP(B5696,'REGISTRO ABONOS'!$B$8:$BC$10012,54,0)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4"/>
        <v>105000</v>
      </c>
      <c r="K5697" t="e">
        <f>VLOOKUP(B5697,'REGISTRO ABONOS'!$B$8:$BC$10012,54,0)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4"/>
        <v>105000</v>
      </c>
      <c r="K5698" t="e">
        <f>VLOOKUP(B5698,'REGISTRO ABONOS'!$B$8:$BC$10012,54,0)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4"/>
        <v>105000</v>
      </c>
      <c r="K5699" t="e">
        <f>VLOOKUP(B5699,'REGISTRO ABONOS'!$B$8:$BC$10012,54,0)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4"/>
        <v>105000</v>
      </c>
      <c r="K5700" t="e">
        <f>VLOOKUP(B5700,'REGISTRO ABONOS'!$B$8:$BC$10012,54,0)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4"/>
        <v>105000</v>
      </c>
      <c r="K5701" t="e">
        <f>VLOOKUP(B5701,'REGISTRO ABONOS'!$B$8:$BC$10012,54,0)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J5702">
        <f t="shared" si="94"/>
        <v>105000</v>
      </c>
      <c r="K5702" t="e">
        <f>VLOOKUP(B5702,'REGISTRO ABONOS'!$B$8:$BC$10012,54,0)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4"/>
        <v>105000</v>
      </c>
      <c r="K5703" t="e">
        <f>VLOOKUP(B5703,'REGISTRO ABONOS'!$B$8:$BC$10012,54,0)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4"/>
        <v>105000</v>
      </c>
      <c r="K5704" t="e">
        <f>VLOOKUP(B5704,'REGISTRO ABONOS'!$B$8:$BC$10012,54,0)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4"/>
        <v>105000</v>
      </c>
      <c r="K5705" t="e">
        <f>VLOOKUP(B5705,'REGISTRO ABONOS'!$B$8:$BC$10012,54,0)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4"/>
        <v>105000</v>
      </c>
      <c r="K5706" t="e">
        <f>VLOOKUP(B5706,'REGISTRO ABONOS'!$B$8:$BC$10012,54,0)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4"/>
        <v>105000</v>
      </c>
      <c r="K5707" t="e">
        <f>VLOOKUP(B5707,'REGISTRO ABONOS'!$B$8:$BC$10012,54,0)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J5708">
        <f t="shared" si="94"/>
        <v>105000</v>
      </c>
      <c r="K5708" t="e">
        <f>VLOOKUP(B5708,'REGISTRO ABONOS'!$B$8:$BC$10012,54,0)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J5709">
        <f t="shared" si="94"/>
        <v>105000</v>
      </c>
      <c r="K5709" t="e">
        <f>VLOOKUP(B5709,'REGISTRO ABONOS'!$B$8:$BC$10012,54,0)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J5710">
        <f t="shared" si="94"/>
        <v>105000</v>
      </c>
      <c r="K5710" t="e">
        <f>VLOOKUP(B5710,'REGISTRO ABONOS'!$B$8:$BC$10012,54,0)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4"/>
        <v>105000</v>
      </c>
      <c r="K5711" t="e">
        <f>VLOOKUP(B5711,'REGISTRO ABONOS'!$B$8:$BC$10012,54,0)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4"/>
        <v>105000</v>
      </c>
      <c r="K5712" t="e">
        <f>VLOOKUP(B5712,'REGISTRO ABONOS'!$B$8:$BC$10012,54,0)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4"/>
        <v>105000</v>
      </c>
      <c r="K5713" t="e">
        <f>VLOOKUP(B5713,'REGISTRO ABONOS'!$B$8:$BC$10012,54,0)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4"/>
        <v>105000</v>
      </c>
      <c r="K5714" t="e">
        <f>VLOOKUP(B5714,'REGISTRO ABONOS'!$B$8:$BC$10012,54,0)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4"/>
        <v>105000</v>
      </c>
      <c r="K5715" t="e">
        <f>VLOOKUP(B5715,'REGISTRO ABONOS'!$B$8:$BC$10012,54,0)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4"/>
        <v>105000</v>
      </c>
      <c r="K5716" t="e">
        <f>VLOOKUP(B5716,'REGISTRO ABONOS'!$B$8:$BC$10012,54,0)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4"/>
        <v>105000</v>
      </c>
      <c r="K5717" t="e">
        <f>VLOOKUP(B5717,'REGISTRO ABONOS'!$B$8:$BC$10012,54,0)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4"/>
        <v>105000</v>
      </c>
      <c r="K5718" t="e">
        <f>VLOOKUP(B5718,'REGISTRO ABONOS'!$B$8:$BC$10012,54,0)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J5719">
        <f t="shared" si="94"/>
        <v>105000</v>
      </c>
      <c r="K5719" t="e">
        <f>VLOOKUP(B5719,'REGISTRO ABONOS'!$B$8:$BC$10012,54,0)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J5720">
        <f t="shared" si="94"/>
        <v>105000</v>
      </c>
      <c r="K5720" t="e">
        <f>VLOOKUP(B5720,'REGISTRO ABONOS'!$B$8:$BC$10012,54,0)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J5721">
        <f t="shared" si="94"/>
        <v>105000</v>
      </c>
      <c r="K5721" t="e">
        <f>VLOOKUP(B5721,'REGISTRO ABONOS'!$B$8:$BC$10012,54,0)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J5722">
        <f t="shared" si="94"/>
        <v>105000</v>
      </c>
      <c r="K5722" t="e">
        <f>VLOOKUP(B5722,'REGISTRO ABONOS'!$B$8:$BC$10012,54,0)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J5723">
        <f t="shared" si="94"/>
        <v>105000</v>
      </c>
      <c r="K5723" t="e">
        <f>VLOOKUP(B5723,'REGISTRO ABONOS'!$B$8:$BC$10012,54,0)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4"/>
        <v>105000</v>
      </c>
      <c r="K5724" t="e">
        <f>VLOOKUP(B5724,'REGISTRO ABONOS'!$B$8:$BC$10012,54,0)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J5725">
        <f t="shared" si="94"/>
        <v>105000</v>
      </c>
      <c r="K5725" t="e">
        <f>VLOOKUP(B5725,'REGISTRO ABONOS'!$B$8:$BC$10012,54,0)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4"/>
        <v>105000</v>
      </c>
      <c r="K5726" t="e">
        <f>VLOOKUP(B5726,'REGISTRO ABONOS'!$B$8:$BC$10012,54,0)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4"/>
        <v>105000</v>
      </c>
      <c r="K5727" t="e">
        <f>VLOOKUP(B5727,'REGISTRO ABONOS'!$B$8:$BC$10012,54,0)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J5728">
        <f t="shared" si="94"/>
        <v>105000</v>
      </c>
      <c r="K5728" t="e">
        <f>VLOOKUP(B5728,'REGISTRO ABONOS'!$B$8:$BC$10012,54,0)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4"/>
        <v>105000</v>
      </c>
      <c r="K5729" t="e">
        <f>VLOOKUP(B5729,'REGISTRO ABONOS'!$B$8:$BC$10012,54,0)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J5730">
        <f t="shared" si="94"/>
        <v>105000</v>
      </c>
      <c r="K5730" t="e">
        <f>VLOOKUP(B5730,'REGISTRO ABONOS'!$B$8:$BC$10012,54,0)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4"/>
        <v>105000</v>
      </c>
      <c r="K5731" t="e">
        <f>VLOOKUP(B5731,'REGISTRO ABONOS'!$B$8:$BC$10012,54,0)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4"/>
        <v>105000</v>
      </c>
      <c r="K5732" t="e">
        <f>VLOOKUP(B5732,'REGISTRO ABONOS'!$B$8:$BC$10012,54,0)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4"/>
        <v>105000</v>
      </c>
      <c r="K5733" t="e">
        <f>VLOOKUP(B5733,'REGISTRO ABONOS'!$B$8:$BC$10012,54,0)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4"/>
        <v>105000</v>
      </c>
      <c r="K5734" t="e">
        <f>VLOOKUP(B5734,'REGISTRO ABONOS'!$B$8:$BC$10012,54,0)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4"/>
        <v>105000</v>
      </c>
      <c r="K5735" t="e">
        <f>VLOOKUP(B5735,'REGISTRO ABONOS'!$B$8:$BC$10012,54,0)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J5736">
        <f t="shared" si="94"/>
        <v>105000</v>
      </c>
      <c r="K5736" t="e">
        <f>VLOOKUP(B5736,'REGISTRO ABONOS'!$B$8:$BC$10012,54,0)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J5737">
        <f t="shared" si="94"/>
        <v>105000</v>
      </c>
      <c r="K5737" t="e">
        <f>VLOOKUP(B5737,'REGISTRO ABONOS'!$B$8:$BC$10012,54,0)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J5738">
        <f t="shared" si="94"/>
        <v>105000</v>
      </c>
      <c r="K5738" t="e">
        <f>VLOOKUP(B5738,'REGISTRO ABONOS'!$B$8:$BC$10012,54,0)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J5739">
        <f t="shared" si="94"/>
        <v>105000</v>
      </c>
      <c r="K5739" t="e">
        <f>VLOOKUP(B5739,'REGISTRO ABONOS'!$B$8:$BC$10012,54,0)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4"/>
        <v>105000</v>
      </c>
      <c r="K5740" t="e">
        <f>VLOOKUP(B5740,'REGISTRO ABONOS'!$B$8:$BC$10012,54,0)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4"/>
        <v>105000</v>
      </c>
      <c r="K5741" t="e">
        <f>VLOOKUP(B5741,'REGISTRO ABONOS'!$B$8:$BC$10012,54,0)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J5742">
        <f t="shared" si="94"/>
        <v>105000</v>
      </c>
      <c r="K5742" t="e">
        <f>VLOOKUP(B5742,'REGISTRO ABONOS'!$B$8:$BC$10012,54,0)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4"/>
        <v>105000</v>
      </c>
      <c r="K5743" t="e">
        <f>VLOOKUP(B5743,'REGISTRO ABONOS'!$B$8:$BC$10012,54,0)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J5744">
        <f t="shared" si="94"/>
        <v>105000</v>
      </c>
      <c r="K5744" t="e">
        <f>VLOOKUP(B5744,'REGISTRO ABONOS'!$B$8:$BC$10012,54,0)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4"/>
        <v>105000</v>
      </c>
      <c r="K5745" t="e">
        <f>VLOOKUP(B5745,'REGISTRO ABONOS'!$B$8:$BC$10012,54,0)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4"/>
        <v>105000</v>
      </c>
      <c r="K5746" t="e">
        <f>VLOOKUP(B5746,'REGISTRO ABONOS'!$B$8:$BC$10012,54,0)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4"/>
        <v>105000</v>
      </c>
      <c r="K5747" t="e">
        <f>VLOOKUP(B5747,'REGISTRO ABONOS'!$B$8:$BC$10012,54,0)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4"/>
        <v>105000</v>
      </c>
      <c r="K5748" t="e">
        <f>VLOOKUP(B5748,'REGISTRO ABONOS'!$B$8:$BC$10012,54,0)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4"/>
        <v>105000</v>
      </c>
      <c r="K5749" t="e">
        <f>VLOOKUP(B5749,'REGISTRO ABONOS'!$B$8:$BC$10012,54,0)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ABONOS'!$B$8:$BC$10012,54,0)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5"/>
        <v>105000</v>
      </c>
      <c r="K5751" t="e">
        <f>VLOOKUP(B5751,'REGISTRO ABONOS'!$B$8:$BC$10012,54,0)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J5752">
        <f t="shared" si="95"/>
        <v>105000</v>
      </c>
      <c r="K5752" t="e">
        <f>VLOOKUP(B5752,'REGISTRO ABONOS'!$B$8:$BC$10012,54,0)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5"/>
        <v>105000</v>
      </c>
      <c r="K5753" t="e">
        <f>VLOOKUP(B5753,'REGISTRO ABONOS'!$B$8:$BC$10012,54,0)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5"/>
        <v>105000</v>
      </c>
      <c r="K5754" t="e">
        <f>VLOOKUP(B5754,'REGISTRO ABONOS'!$B$8:$BC$10012,54,0)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J5755">
        <f t="shared" si="95"/>
        <v>105000</v>
      </c>
      <c r="K5755" t="e">
        <f>VLOOKUP(B5755,'REGISTRO ABONOS'!$B$8:$BC$10012,54,0)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5"/>
        <v>105000</v>
      </c>
      <c r="K5756" t="e">
        <f>VLOOKUP(B5756,'REGISTRO ABONOS'!$B$8:$BC$10012,54,0)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5"/>
        <v>105000</v>
      </c>
      <c r="K5757" t="e">
        <f>VLOOKUP(B5757,'REGISTRO ABONOS'!$B$8:$BC$10012,54,0)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5"/>
        <v>105000</v>
      </c>
      <c r="K5758" t="e">
        <f>VLOOKUP(B5758,'REGISTRO ABONOS'!$B$8:$BC$10012,54,0)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J5759">
        <f t="shared" si="95"/>
        <v>105000</v>
      </c>
      <c r="K5759" t="e">
        <f>VLOOKUP(B5759,'REGISTRO ABONOS'!$B$8:$BC$10012,54,0)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5"/>
        <v>105000</v>
      </c>
      <c r="K5760" t="e">
        <f>VLOOKUP(B5760,'REGISTRO ABONOS'!$B$8:$BC$10012,54,0)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5"/>
        <v>105000</v>
      </c>
      <c r="K5761" t="e">
        <f>VLOOKUP(B5761,'REGISTRO ABONOS'!$B$8:$BC$10012,54,0)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5"/>
        <v>105000</v>
      </c>
      <c r="K5762" t="e">
        <f>VLOOKUP(B5762,'REGISTRO ABONOS'!$B$8:$BC$10012,54,0)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5"/>
        <v>105000</v>
      </c>
      <c r="K5763" t="e">
        <f>VLOOKUP(B5763,'REGISTRO ABONOS'!$B$8:$BC$10012,54,0)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5"/>
        <v>105000</v>
      </c>
      <c r="K5764" t="e">
        <f>VLOOKUP(B5764,'REGISTRO ABONOS'!$B$8:$BC$10012,54,0)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5"/>
        <v>105000</v>
      </c>
      <c r="K5765" t="e">
        <f>VLOOKUP(B5765,'REGISTRO ABONOS'!$B$8:$BC$10012,54,0)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5"/>
        <v>105000</v>
      </c>
      <c r="K5766" t="e">
        <f>VLOOKUP(B5766,'REGISTRO ABONOS'!$B$8:$BC$10012,54,0)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5"/>
        <v>105000</v>
      </c>
      <c r="K5767" t="e">
        <f>VLOOKUP(B5767,'REGISTRO ABONOS'!$B$8:$BC$10012,54,0)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5"/>
        <v>105000</v>
      </c>
      <c r="K5768" t="e">
        <f>VLOOKUP(B5768,'REGISTRO ABONOS'!$B$8:$BC$10012,54,0)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5"/>
        <v>105000</v>
      </c>
      <c r="K5769" t="e">
        <f>VLOOKUP(B5769,'REGISTRO ABONOS'!$B$8:$BC$10012,54,0)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5"/>
        <v>105000</v>
      </c>
      <c r="K5770" t="e">
        <f>VLOOKUP(B5770,'REGISTRO ABONOS'!$B$8:$BC$10012,54,0)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5"/>
        <v>105000</v>
      </c>
      <c r="K5771" t="e">
        <f>VLOOKUP(B5771,'REGISTRO ABONOS'!$B$8:$BC$10012,54,0)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5"/>
        <v>105000</v>
      </c>
      <c r="K5772" t="e">
        <f>VLOOKUP(B5772,'REGISTRO ABONOS'!$B$8:$BC$10012,54,0)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5"/>
        <v>105000</v>
      </c>
      <c r="K5773" t="e">
        <f>VLOOKUP(B5773,'REGISTRO ABONOS'!$B$8:$BC$10012,54,0)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5"/>
        <v>105000</v>
      </c>
      <c r="K5774" t="e">
        <f>VLOOKUP(B5774,'REGISTRO ABONOS'!$B$8:$BC$10012,54,0)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5"/>
        <v>105000</v>
      </c>
      <c r="K5775" t="e">
        <f>VLOOKUP(B5775,'REGISTRO ABONOS'!$B$8:$BC$10012,54,0)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5"/>
        <v>105000</v>
      </c>
      <c r="K5776" t="e">
        <f>VLOOKUP(B5776,'REGISTRO ABONOS'!$B$8:$BC$10012,54,0)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5"/>
        <v>105000</v>
      </c>
      <c r="K5777" t="e">
        <f>VLOOKUP(B5777,'REGISTRO ABONOS'!$B$8:$BC$10012,54,0)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5"/>
        <v>105000</v>
      </c>
      <c r="K5778" t="e">
        <f>VLOOKUP(B5778,'REGISTRO ABONOS'!$B$8:$BC$10012,54,0)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5"/>
        <v>105000</v>
      </c>
      <c r="K5779" t="e">
        <f>VLOOKUP(B5779,'REGISTRO ABONOS'!$B$8:$BC$10012,54,0)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5"/>
        <v>105000</v>
      </c>
      <c r="K5780" t="e">
        <f>VLOOKUP(B5780,'REGISTRO ABONOS'!$B$8:$BC$10012,54,0)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5"/>
        <v>105000</v>
      </c>
      <c r="K5781" t="e">
        <f>VLOOKUP(B5781,'REGISTRO ABONOS'!$B$8:$BC$10012,54,0)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5"/>
        <v>105000</v>
      </c>
      <c r="K5782" t="e">
        <f>VLOOKUP(B5782,'REGISTRO ABONOS'!$B$8:$BC$10012,54,0)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5"/>
        <v>105000</v>
      </c>
      <c r="K5783" t="e">
        <f>VLOOKUP(B5783,'REGISTRO ABONOS'!$B$8:$BC$10012,54,0)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5"/>
        <v>105000</v>
      </c>
      <c r="K5784" t="e">
        <f>VLOOKUP(B5784,'REGISTRO ABONOS'!$B$8:$BC$10012,54,0)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5"/>
        <v>105000</v>
      </c>
      <c r="K5785" t="e">
        <f>VLOOKUP(B5785,'REGISTRO ABONOS'!$B$8:$BC$10012,54,0)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J5786">
        <f t="shared" si="95"/>
        <v>105000</v>
      </c>
      <c r="K5786" t="e">
        <f>VLOOKUP(B5786,'REGISTRO ABONOS'!$B$8:$BC$10012,54,0)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5"/>
        <v>105000</v>
      </c>
      <c r="K5787" t="e">
        <f>VLOOKUP(B5787,'REGISTRO ABONOS'!$B$8:$BC$10012,54,0)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5"/>
        <v>105000</v>
      </c>
      <c r="K5788" t="e">
        <f>VLOOKUP(B5788,'REGISTRO ABONOS'!$B$8:$BC$10012,54,0)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5"/>
        <v>105000</v>
      </c>
      <c r="K5789" t="e">
        <f>VLOOKUP(B5789,'REGISTRO ABONOS'!$B$8:$BC$10012,54,0)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5"/>
        <v>105000</v>
      </c>
      <c r="K5790" t="e">
        <f>VLOOKUP(B5790,'REGISTRO ABONOS'!$B$8:$BC$10012,54,0)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5"/>
        <v>105000</v>
      </c>
      <c r="K5791" t="e">
        <f>VLOOKUP(B5791,'REGISTRO ABONOS'!$B$8:$BC$10012,54,0)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5"/>
        <v>105000</v>
      </c>
      <c r="K5792" t="e">
        <f>VLOOKUP(B5792,'REGISTRO ABONOS'!$B$8:$BC$10012,54,0)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5"/>
        <v>105000</v>
      </c>
      <c r="K5793" t="e">
        <f>VLOOKUP(B5793,'REGISTRO ABONOS'!$B$8:$BC$10012,54,0)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5"/>
        <v>105000</v>
      </c>
      <c r="K5794" t="e">
        <f>VLOOKUP(B5794,'REGISTRO ABONOS'!$B$8:$BC$10012,54,0)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5"/>
        <v>105000</v>
      </c>
      <c r="K5795" t="e">
        <f>VLOOKUP(B5795,'REGISTRO ABONOS'!$B$8:$BC$10012,54,0)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5"/>
        <v>105000</v>
      </c>
      <c r="K5796" t="e">
        <f>VLOOKUP(B5796,'REGISTRO ABONOS'!$B$8:$BC$10012,54,0)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5"/>
        <v>105000</v>
      </c>
      <c r="K5797" t="e">
        <f>VLOOKUP(B5797,'REGISTRO ABONOS'!$B$8:$BC$10012,54,0)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5"/>
        <v>105000</v>
      </c>
      <c r="K5798" t="e">
        <f>VLOOKUP(B5798,'REGISTRO ABONOS'!$B$8:$BC$10012,54,0)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J5799">
        <f t="shared" si="95"/>
        <v>105000</v>
      </c>
      <c r="K5799" t="e">
        <f>VLOOKUP(B5799,'REGISTRO ABONOS'!$B$8:$BC$10012,54,0)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5"/>
        <v>105000</v>
      </c>
      <c r="K5800" t="e">
        <f>VLOOKUP(B5800,'REGISTRO ABONOS'!$B$8:$BC$10012,54,0)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5"/>
        <v>105000</v>
      </c>
      <c r="K5801" t="e">
        <f>VLOOKUP(B5801,'REGISTRO ABONOS'!$B$8:$BC$10012,54,0)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5"/>
        <v>105000</v>
      </c>
      <c r="K5802" t="e">
        <f>VLOOKUP(B5802,'REGISTRO ABONOS'!$B$8:$BC$10012,54,0)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5"/>
        <v>105000</v>
      </c>
      <c r="K5803" t="e">
        <f>VLOOKUP(B5803,'REGISTRO ABONOS'!$B$8:$BC$10012,54,0)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5"/>
        <v>105000</v>
      </c>
      <c r="K5804" t="e">
        <f>VLOOKUP(B5804,'REGISTRO ABONOS'!$B$8:$BC$10012,54,0)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J5805">
        <f t="shared" si="95"/>
        <v>105000</v>
      </c>
      <c r="K5805" t="e">
        <f>VLOOKUP(B5805,'REGISTRO ABONOS'!$B$8:$BC$10012,54,0)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5"/>
        <v>105000</v>
      </c>
      <c r="K5806" t="e">
        <f>VLOOKUP(B5806,'REGISTRO ABONOS'!$B$8:$BC$10012,54,0)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5"/>
        <v>105000</v>
      </c>
      <c r="K5807" t="e">
        <f>VLOOKUP(B5807,'REGISTRO ABONOS'!$B$8:$BC$10012,54,0)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5"/>
        <v>105000</v>
      </c>
      <c r="K5808" t="e">
        <f>VLOOKUP(B5808,'REGISTRO ABONOS'!$B$8:$BC$10012,54,0)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5"/>
        <v>105000</v>
      </c>
      <c r="K5809" t="e">
        <f>VLOOKUP(B5809,'REGISTRO ABONOS'!$B$8:$BC$10012,54,0)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5"/>
        <v>105000</v>
      </c>
      <c r="K5810" t="e">
        <f>VLOOKUP(B5810,'REGISTRO ABONOS'!$B$8:$BC$10012,54,0)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5"/>
        <v>105000</v>
      </c>
      <c r="K5811" t="e">
        <f>VLOOKUP(B5811,'REGISTRO ABONOS'!$B$8:$BC$10012,54,0)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5"/>
        <v>105000</v>
      </c>
      <c r="K5812" t="e">
        <f>VLOOKUP(B5812,'REGISTRO ABONOS'!$B$8:$BC$10012,54,0)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5"/>
        <v>105000</v>
      </c>
      <c r="K5813" t="e">
        <f>VLOOKUP(B5813,'REGISTRO ABONOS'!$B$8:$BC$10012,54,0)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ABONOS'!$B$8:$BC$10012,54,0)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6"/>
        <v>105000</v>
      </c>
      <c r="K5815" t="e">
        <f>VLOOKUP(B5815,'REGISTRO ABONOS'!$B$8:$BC$10012,54,0)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J5816">
        <f t="shared" si="96"/>
        <v>105000</v>
      </c>
      <c r="K5816" t="e">
        <f>VLOOKUP(B5816,'REGISTRO ABONOS'!$B$8:$BC$10012,54,0)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6"/>
        <v>105000</v>
      </c>
      <c r="K5817" t="e">
        <f>VLOOKUP(B5817,'REGISTRO ABONOS'!$B$8:$BC$10012,54,0)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6"/>
        <v>105000</v>
      </c>
      <c r="K5818" t="e">
        <f>VLOOKUP(B5818,'REGISTRO ABONOS'!$B$8:$BC$10012,54,0)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6"/>
        <v>105000</v>
      </c>
      <c r="K5819" t="e">
        <f>VLOOKUP(B5819,'REGISTRO ABONOS'!$B$8:$BC$10012,54,0)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6"/>
        <v>105000</v>
      </c>
      <c r="K5820" t="e">
        <f>VLOOKUP(B5820,'REGISTRO ABONOS'!$B$8:$BC$10012,54,0)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6"/>
        <v>105000</v>
      </c>
      <c r="K5821" t="e">
        <f>VLOOKUP(B5821,'REGISTRO ABONOS'!$B$8:$BC$10012,54,0)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6"/>
        <v>105000</v>
      </c>
      <c r="K5822" t="e">
        <f>VLOOKUP(B5822,'REGISTRO ABONOS'!$B$8:$BC$10012,54,0)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6"/>
        <v>105000</v>
      </c>
      <c r="K5823" t="e">
        <f>VLOOKUP(B5823,'REGISTRO ABONOS'!$B$8:$BC$10012,54,0)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6"/>
        <v>105000</v>
      </c>
      <c r="K5824" t="e">
        <f>VLOOKUP(B5824,'REGISTRO ABONOS'!$B$8:$BC$10012,54,0)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6"/>
        <v>105000</v>
      </c>
      <c r="K5825" t="e">
        <f>VLOOKUP(B5825,'REGISTRO ABONOS'!$B$8:$BC$10012,54,0)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J5826">
        <f t="shared" si="96"/>
        <v>105000</v>
      </c>
      <c r="K5826" t="e">
        <f>VLOOKUP(B5826,'REGISTRO ABONOS'!$B$8:$BC$10012,54,0)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6"/>
        <v>105000</v>
      </c>
      <c r="K5827" t="e">
        <f>VLOOKUP(B5827,'REGISTRO ABONOS'!$B$8:$BC$10012,54,0)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6"/>
        <v>105000</v>
      </c>
      <c r="K5828" t="e">
        <f>VLOOKUP(B5828,'REGISTRO ABONOS'!$B$8:$BC$10012,54,0)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6"/>
        <v>105000</v>
      </c>
      <c r="K5829" t="e">
        <f>VLOOKUP(B5829,'REGISTRO ABONOS'!$B$8:$BC$10012,54,0)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6"/>
        <v>105000</v>
      </c>
      <c r="K5830" t="e">
        <f>VLOOKUP(B5830,'REGISTRO ABONOS'!$B$8:$BC$10012,54,0)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6"/>
        <v>105000</v>
      </c>
      <c r="K5831" t="e">
        <f>VLOOKUP(B5831,'REGISTRO ABONOS'!$B$8:$BC$10012,54,0)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6"/>
        <v>105000</v>
      </c>
      <c r="K5832" t="e">
        <f>VLOOKUP(B5832,'REGISTRO ABONOS'!$B$8:$BC$10012,54,0)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6"/>
        <v>105000</v>
      </c>
      <c r="K5833" t="e">
        <f>VLOOKUP(B5833,'REGISTRO ABONOS'!$B$8:$BC$10012,54,0)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6"/>
        <v>105000</v>
      </c>
      <c r="K5834" t="e">
        <f>VLOOKUP(B5834,'REGISTRO ABONOS'!$B$8:$BC$10012,54,0)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6"/>
        <v>105000</v>
      </c>
      <c r="K5835" t="e">
        <f>VLOOKUP(B5835,'REGISTRO ABONOS'!$B$8:$BC$10012,54,0)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6"/>
        <v>105000</v>
      </c>
      <c r="K5836" t="e">
        <f>VLOOKUP(B5836,'REGISTRO ABONOS'!$B$8:$BC$10012,54,0)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6"/>
        <v>105000</v>
      </c>
      <c r="K5837" t="e">
        <f>VLOOKUP(B5837,'REGISTRO ABONOS'!$B$8:$BC$10012,54,0)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6"/>
        <v>105000</v>
      </c>
      <c r="K5838" t="e">
        <f>VLOOKUP(B5838,'REGISTRO ABONOS'!$B$8:$BC$10012,54,0)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6"/>
        <v>105000</v>
      </c>
      <c r="K5839" t="e">
        <f>VLOOKUP(B5839,'REGISTRO ABONOS'!$B$8:$BC$10012,54,0)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6"/>
        <v>105000</v>
      </c>
      <c r="K5840" t="e">
        <f>VLOOKUP(B5840,'REGISTRO ABONOS'!$B$8:$BC$10012,54,0)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6"/>
        <v>105000</v>
      </c>
      <c r="K5841" t="e">
        <f>VLOOKUP(B5841,'REGISTRO ABONOS'!$B$8:$BC$10012,54,0)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6"/>
        <v>105000</v>
      </c>
      <c r="K5842" t="e">
        <f>VLOOKUP(B5842,'REGISTRO ABONOS'!$B$8:$BC$10012,54,0)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6"/>
        <v>105000</v>
      </c>
      <c r="K5843" t="e">
        <f>VLOOKUP(B5843,'REGISTRO ABONOS'!$B$8:$BC$10012,54,0)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6"/>
        <v>105000</v>
      </c>
      <c r="K5844" t="e">
        <f>VLOOKUP(B5844,'REGISTRO ABONOS'!$B$8:$BC$10012,54,0)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6"/>
        <v>105000</v>
      </c>
      <c r="K5845" t="e">
        <f>VLOOKUP(B5845,'REGISTRO ABONOS'!$B$8:$BC$10012,54,0)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6"/>
        <v>105000</v>
      </c>
      <c r="K5846" t="e">
        <f>VLOOKUP(B5846,'REGISTRO ABONOS'!$B$8:$BC$10012,54,0)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6"/>
        <v>105000</v>
      </c>
      <c r="K5847" t="e">
        <f>VLOOKUP(B5847,'REGISTRO ABONOS'!$B$8:$BC$10012,54,0)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6"/>
        <v>105000</v>
      </c>
      <c r="K5848" t="e">
        <f>VLOOKUP(B5848,'REGISTRO ABONOS'!$B$8:$BC$10012,54,0)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6"/>
        <v>105000</v>
      </c>
      <c r="K5849" t="e">
        <f>VLOOKUP(B5849,'REGISTRO ABONOS'!$B$8:$BC$10012,54,0)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6"/>
        <v>105000</v>
      </c>
      <c r="K5850" t="e">
        <f>VLOOKUP(B5850,'REGISTRO ABONOS'!$B$8:$BC$10012,54,0)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6"/>
        <v>105000</v>
      </c>
      <c r="K5851" t="e">
        <f>VLOOKUP(B5851,'REGISTRO ABONOS'!$B$8:$BC$10012,54,0)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6"/>
        <v>105000</v>
      </c>
      <c r="K5852" t="e">
        <f>VLOOKUP(B5852,'REGISTRO ABONOS'!$B$8:$BC$10012,54,0)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6"/>
        <v>105000</v>
      </c>
      <c r="K5853" t="e">
        <f>VLOOKUP(B5853,'REGISTRO ABONOS'!$B$8:$BC$10012,54,0)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6"/>
        <v>105000</v>
      </c>
      <c r="K5854" t="e">
        <f>VLOOKUP(B5854,'REGISTRO ABONOS'!$B$8:$BC$10012,54,0)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6"/>
        <v>105000</v>
      </c>
      <c r="K5855" t="e">
        <f>VLOOKUP(B5855,'REGISTRO ABONOS'!$B$8:$BC$10012,54,0)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6"/>
        <v>105000</v>
      </c>
      <c r="K5856" t="e">
        <f>VLOOKUP(B5856,'REGISTRO ABONOS'!$B$8:$BC$10012,54,0)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6"/>
        <v>105000</v>
      </c>
      <c r="K5857" t="e">
        <f>VLOOKUP(B5857,'REGISTRO ABONOS'!$B$8:$BC$10012,54,0)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6"/>
        <v>105000</v>
      </c>
      <c r="K5858" t="e">
        <f>VLOOKUP(B5858,'REGISTRO ABONOS'!$B$8:$BC$10012,54,0)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6"/>
        <v>105000</v>
      </c>
      <c r="K5859" t="e">
        <f>VLOOKUP(B5859,'REGISTRO ABONOS'!$B$8:$BC$10012,54,0)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6"/>
        <v>105000</v>
      </c>
      <c r="K5860" t="e">
        <f>VLOOKUP(B5860,'REGISTRO ABONOS'!$B$8:$BC$10012,54,0)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6"/>
        <v>105000</v>
      </c>
      <c r="K5861" t="e">
        <f>VLOOKUP(B5861,'REGISTRO ABONOS'!$B$8:$BC$10012,54,0)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6"/>
        <v>105000</v>
      </c>
      <c r="K5862" t="e">
        <f>VLOOKUP(B5862,'REGISTRO ABONOS'!$B$8:$BC$10012,54,0)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6"/>
        <v>105000</v>
      </c>
      <c r="K5863" t="e">
        <f>VLOOKUP(B5863,'REGISTRO ABONOS'!$B$8:$BC$10012,54,0)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6"/>
        <v>105000</v>
      </c>
      <c r="K5864" t="e">
        <f>VLOOKUP(B5864,'REGISTRO ABONOS'!$B$8:$BC$10012,54,0)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6"/>
        <v>105000</v>
      </c>
      <c r="K5865" t="e">
        <f>VLOOKUP(B5865,'REGISTRO ABONOS'!$B$8:$BC$10012,54,0)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6"/>
        <v>105000</v>
      </c>
      <c r="K5866" t="e">
        <f>VLOOKUP(B5866,'REGISTRO ABONOS'!$B$8:$BC$10012,54,0)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6"/>
        <v>105000</v>
      </c>
      <c r="K5867" t="e">
        <f>VLOOKUP(B5867,'REGISTRO ABONOS'!$B$8:$BC$10012,54,0)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6"/>
        <v>105000</v>
      </c>
      <c r="K5868" t="e">
        <f>VLOOKUP(B5868,'REGISTRO ABONOS'!$B$8:$BC$10012,54,0)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6"/>
        <v>105000</v>
      </c>
      <c r="K5869" t="e">
        <f>VLOOKUP(B5869,'REGISTRO ABONOS'!$B$8:$BC$10012,54,0)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6"/>
        <v>105000</v>
      </c>
      <c r="K5870" t="e">
        <f>VLOOKUP(B5870,'REGISTRO ABONOS'!$B$8:$BC$10012,54,0)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6"/>
        <v>105000</v>
      </c>
      <c r="K5871" t="e">
        <f>VLOOKUP(B5871,'REGISTRO ABONOS'!$B$8:$BC$10012,54,0)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6"/>
        <v>105000</v>
      </c>
      <c r="K5872" t="e">
        <f>VLOOKUP(B5872,'REGISTRO ABONOS'!$B$8:$BC$10012,54,0)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6"/>
        <v>105000</v>
      </c>
      <c r="K5873" t="e">
        <f>VLOOKUP(B5873,'REGISTRO ABONOS'!$B$8:$BC$10012,54,0)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6"/>
        <v>105000</v>
      </c>
      <c r="K5874" t="e">
        <f>VLOOKUP(B5874,'REGISTRO ABONOS'!$B$8:$BC$10012,54,0)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6"/>
        <v>105000</v>
      </c>
      <c r="K5875" t="e">
        <f>VLOOKUP(B5875,'REGISTRO ABONOS'!$B$8:$BC$10012,54,0)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6"/>
        <v>105000</v>
      </c>
      <c r="K5876" t="e">
        <f>VLOOKUP(B5876,'REGISTRO ABONOS'!$B$8:$BC$10012,54,0)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6"/>
        <v>105000</v>
      </c>
      <c r="K5877" t="e">
        <f>VLOOKUP(B5877,'REGISTRO ABONOS'!$B$8:$BC$10012,54,0)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ABONOS'!$B$8:$BC$10012,54,0)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7"/>
        <v>105000</v>
      </c>
      <c r="K5879" t="e">
        <f>VLOOKUP(B5879,'REGISTRO ABONOS'!$B$8:$BC$10012,54,0)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7"/>
        <v>105000</v>
      </c>
      <c r="K5880" t="e">
        <f>VLOOKUP(B5880,'REGISTRO ABONOS'!$B$8:$BC$10012,54,0)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7"/>
        <v>105000</v>
      </c>
      <c r="K5881" t="e">
        <f>VLOOKUP(B5881,'REGISTRO ABONOS'!$B$8:$BC$10012,54,0)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7"/>
        <v>105000</v>
      </c>
      <c r="K5882" t="e">
        <f>VLOOKUP(B5882,'REGISTRO ABONOS'!$B$8:$BC$10012,54,0)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7"/>
        <v>105000</v>
      </c>
      <c r="K5883" t="e">
        <f>VLOOKUP(B5883,'REGISTRO ABONOS'!$B$8:$BC$10012,54,0)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7"/>
        <v>105000</v>
      </c>
      <c r="K5884" t="e">
        <f>VLOOKUP(B5884,'REGISTRO ABONOS'!$B$8:$BC$10012,54,0)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7"/>
        <v>105000</v>
      </c>
      <c r="K5885" t="e">
        <f>VLOOKUP(B5885,'REGISTRO ABONOS'!$B$8:$BC$10012,54,0)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7"/>
        <v>105000</v>
      </c>
      <c r="K5886" t="e">
        <f>VLOOKUP(B5886,'REGISTRO ABONOS'!$B$8:$BC$10012,54,0)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7"/>
        <v>105000</v>
      </c>
      <c r="K5887" t="e">
        <f>VLOOKUP(B5887,'REGISTRO ABONOS'!$B$8:$BC$10012,54,0)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7"/>
        <v>105000</v>
      </c>
      <c r="K5888" t="e">
        <f>VLOOKUP(B5888,'REGISTRO ABONOS'!$B$8:$BC$10012,54,0)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7"/>
        <v>105000</v>
      </c>
      <c r="K5889" t="e">
        <f>VLOOKUP(B5889,'REGISTRO ABONOS'!$B$8:$BC$10012,54,0)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7"/>
        <v>105000</v>
      </c>
      <c r="K5890" t="e">
        <f>VLOOKUP(B5890,'REGISTRO ABONOS'!$B$8:$BC$10012,54,0)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7"/>
        <v>105000</v>
      </c>
      <c r="K5891" t="e">
        <f>VLOOKUP(B5891,'REGISTRO ABONOS'!$B$8:$BC$10012,54,0)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7"/>
        <v>105000</v>
      </c>
      <c r="K5892" t="e">
        <f>VLOOKUP(B5892,'REGISTRO ABONOS'!$B$8:$BC$10012,54,0)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7"/>
        <v>105000</v>
      </c>
      <c r="K5893" t="e">
        <f>VLOOKUP(B5893,'REGISTRO ABONOS'!$B$8:$BC$10012,54,0)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7"/>
        <v>105000</v>
      </c>
      <c r="K5894" t="e">
        <f>VLOOKUP(B5894,'REGISTRO ABONOS'!$B$8:$BC$10012,54,0)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7"/>
        <v>105000</v>
      </c>
      <c r="K5895" t="e">
        <f>VLOOKUP(B5895,'REGISTRO ABONOS'!$B$8:$BC$10012,54,0)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7"/>
        <v>105000</v>
      </c>
      <c r="K5896" t="e">
        <f>VLOOKUP(B5896,'REGISTRO ABONOS'!$B$8:$BC$10012,54,0)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7"/>
        <v>105000</v>
      </c>
      <c r="K5897" t="e">
        <f>VLOOKUP(B5897,'REGISTRO ABONOS'!$B$8:$BC$10012,54,0)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7"/>
        <v>105000</v>
      </c>
      <c r="K5898" t="e">
        <f>VLOOKUP(B5898,'REGISTRO ABONOS'!$B$8:$BC$10012,54,0)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7"/>
        <v>105000</v>
      </c>
      <c r="K5899" t="e">
        <f>VLOOKUP(B5899,'REGISTRO ABONOS'!$B$8:$BC$10012,54,0)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7"/>
        <v>105000</v>
      </c>
      <c r="K5900" t="e">
        <f>VLOOKUP(B5900,'REGISTRO ABONOS'!$B$8:$BC$10012,54,0)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7"/>
        <v>105000</v>
      </c>
      <c r="K5901" t="e">
        <f>VLOOKUP(B5901,'REGISTRO ABONOS'!$B$8:$BC$10012,54,0)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7"/>
        <v>105000</v>
      </c>
      <c r="K5902" t="e">
        <f>VLOOKUP(B5902,'REGISTRO ABONOS'!$B$8:$BC$10012,54,0)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7"/>
        <v>105000</v>
      </c>
      <c r="K5903" t="e">
        <f>VLOOKUP(B5903,'REGISTRO ABONOS'!$B$8:$BC$10012,54,0)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7"/>
        <v>105000</v>
      </c>
      <c r="K5904" t="e">
        <f>VLOOKUP(B5904,'REGISTRO ABONOS'!$B$8:$BC$10012,54,0)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7"/>
        <v>105000</v>
      </c>
      <c r="K5905" t="e">
        <f>VLOOKUP(B5905,'REGISTRO ABONOS'!$B$8:$BC$10012,54,0)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7"/>
        <v>105000</v>
      </c>
      <c r="K5906" t="e">
        <f>VLOOKUP(B5906,'REGISTRO ABONOS'!$B$8:$BC$10012,54,0)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7"/>
        <v>105000</v>
      </c>
      <c r="K5907" t="e">
        <f>VLOOKUP(B5907,'REGISTRO ABONOS'!$B$8:$BC$10012,54,0)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7"/>
        <v>105000</v>
      </c>
      <c r="K5908" t="e">
        <f>VLOOKUP(B5908,'REGISTRO ABONOS'!$B$8:$BC$10012,54,0)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7"/>
        <v>105000</v>
      </c>
      <c r="K5909" t="e">
        <f>VLOOKUP(B5909,'REGISTRO ABONOS'!$B$8:$BC$10012,54,0)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7"/>
        <v>105000</v>
      </c>
      <c r="K5910" t="e">
        <f>VLOOKUP(B5910,'REGISTRO ABONOS'!$B$8:$BC$10012,54,0)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7"/>
        <v>105000</v>
      </c>
      <c r="K5911" t="e">
        <f>VLOOKUP(B5911,'REGISTRO ABONOS'!$B$8:$BC$10012,54,0)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7"/>
        <v>105000</v>
      </c>
      <c r="K5912" t="e">
        <f>VLOOKUP(B5912,'REGISTRO ABONOS'!$B$8:$BC$10012,54,0)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7"/>
        <v>105000</v>
      </c>
      <c r="K5913" t="e">
        <f>VLOOKUP(B5913,'REGISTRO ABONOS'!$B$8:$BC$10012,54,0)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7"/>
        <v>105000</v>
      </c>
      <c r="K5914" t="e">
        <f>VLOOKUP(B5914,'REGISTRO ABONOS'!$B$8:$BC$10012,54,0)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7"/>
        <v>105000</v>
      </c>
      <c r="K5915" t="e">
        <f>VLOOKUP(B5915,'REGISTRO ABONOS'!$B$8:$BC$10012,54,0)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7"/>
        <v>105000</v>
      </c>
      <c r="K5916" t="e">
        <f>VLOOKUP(B5916,'REGISTRO ABONOS'!$B$8:$BC$10012,54,0)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7"/>
        <v>105000</v>
      </c>
      <c r="K5917" t="e">
        <f>VLOOKUP(B5917,'REGISTRO ABONOS'!$B$8:$BC$10012,54,0)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7"/>
        <v>105000</v>
      </c>
      <c r="K5918" t="e">
        <f>VLOOKUP(B5918,'REGISTRO ABONOS'!$B$8:$BC$10012,54,0)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7"/>
        <v>105000</v>
      </c>
      <c r="K5919" t="e">
        <f>VLOOKUP(B5919,'REGISTRO ABONOS'!$B$8:$BC$10012,54,0)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7"/>
        <v>105000</v>
      </c>
      <c r="K5920" t="e">
        <f>VLOOKUP(B5920,'REGISTRO ABONOS'!$B$8:$BC$10012,54,0)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7"/>
        <v>105000</v>
      </c>
      <c r="K5921" t="e">
        <f>VLOOKUP(B5921,'REGISTRO ABONOS'!$B$8:$BC$10012,54,0)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7"/>
        <v>105000</v>
      </c>
      <c r="K5922" t="e">
        <f>VLOOKUP(B5922,'REGISTRO ABONOS'!$B$8:$BC$10012,54,0)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7"/>
        <v>105000</v>
      </c>
      <c r="K5923" t="e">
        <f>VLOOKUP(B5923,'REGISTRO ABONOS'!$B$8:$BC$10012,54,0)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7"/>
        <v>105000</v>
      </c>
      <c r="K5924" t="e">
        <f>VLOOKUP(B5924,'REGISTRO ABONOS'!$B$8:$BC$10012,54,0)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7"/>
        <v>105000</v>
      </c>
      <c r="K5925" t="e">
        <f>VLOOKUP(B5925,'REGISTRO ABONOS'!$B$8:$BC$10012,54,0)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7"/>
        <v>105000</v>
      </c>
      <c r="K5926" t="e">
        <f>VLOOKUP(B5926,'REGISTRO ABONOS'!$B$8:$BC$10012,54,0)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7"/>
        <v>105000</v>
      </c>
      <c r="K5927" t="e">
        <f>VLOOKUP(B5927,'REGISTRO ABONOS'!$B$8:$BC$10012,54,0)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7"/>
        <v>105000</v>
      </c>
      <c r="K5928" t="e">
        <f>VLOOKUP(B5928,'REGISTRO ABONOS'!$B$8:$BC$10012,54,0)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7"/>
        <v>105000</v>
      </c>
      <c r="K5929" t="e">
        <f>VLOOKUP(B5929,'REGISTRO ABONOS'!$B$8:$BC$10012,54,0)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7"/>
        <v>105000</v>
      </c>
      <c r="K5930" t="e">
        <f>VLOOKUP(B5930,'REGISTRO ABONOS'!$B$8:$BC$10012,54,0)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7"/>
        <v>105000</v>
      </c>
      <c r="K5931" t="e">
        <f>VLOOKUP(B5931,'REGISTRO ABONOS'!$B$8:$BC$10012,54,0)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7"/>
        <v>105000</v>
      </c>
      <c r="K5932" t="e">
        <f>VLOOKUP(B5932,'REGISTRO ABONOS'!$B$8:$BC$10012,54,0)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7"/>
        <v>105000</v>
      </c>
      <c r="K5933" t="e">
        <f>VLOOKUP(B5933,'REGISTRO ABONOS'!$B$8:$BC$10012,54,0)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7"/>
        <v>105000</v>
      </c>
      <c r="K5934" t="e">
        <f>VLOOKUP(B5934,'REGISTRO ABONOS'!$B$8:$BC$10012,54,0)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7"/>
        <v>105000</v>
      </c>
      <c r="K5935" t="e">
        <f>VLOOKUP(B5935,'REGISTRO ABONOS'!$B$8:$BC$10012,54,0)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7"/>
        <v>105000</v>
      </c>
      <c r="K5936" t="e">
        <f>VLOOKUP(B5936,'REGISTRO ABONOS'!$B$8:$BC$10012,54,0)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7"/>
        <v>105000</v>
      </c>
      <c r="K5937" t="e">
        <f>VLOOKUP(B5937,'REGISTRO ABONOS'!$B$8:$BC$10012,54,0)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7"/>
        <v>105000</v>
      </c>
      <c r="K5938" t="e">
        <f>VLOOKUP(B5938,'REGISTRO ABONOS'!$B$8:$BC$10012,54,0)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7"/>
        <v>105000</v>
      </c>
      <c r="K5939" t="e">
        <f>VLOOKUP(B5939,'REGISTRO ABONOS'!$B$8:$BC$10012,54,0)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7"/>
        <v>105000</v>
      </c>
      <c r="K5940" t="e">
        <f>VLOOKUP(B5940,'REGISTRO ABONOS'!$B$8:$BC$10012,54,0)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7"/>
        <v>105000</v>
      </c>
      <c r="K5941" t="e">
        <f>VLOOKUP(B5941,'REGISTRO ABONOS'!$B$8:$BC$10012,54,0)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ABONOS'!$B$8:$BC$10012,54,0)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8"/>
        <v>105000</v>
      </c>
      <c r="K5943" t="e">
        <f>VLOOKUP(B5943,'REGISTRO ABONOS'!$B$8:$BC$10012,54,0)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8"/>
        <v>105000</v>
      </c>
      <c r="K5944" t="e">
        <f>VLOOKUP(B5944,'REGISTRO ABONOS'!$B$8:$BC$10012,54,0)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8"/>
        <v>105000</v>
      </c>
      <c r="K5945" t="e">
        <f>VLOOKUP(B5945,'REGISTRO ABONOS'!$B$8:$BC$10012,54,0)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J5946">
        <f t="shared" si="98"/>
        <v>105000</v>
      </c>
      <c r="K5946" t="e">
        <f>VLOOKUP(B5946,'REGISTRO ABONOS'!$B$8:$BC$10012,54,0)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8"/>
        <v>105000</v>
      </c>
      <c r="K5947" t="e">
        <f>VLOOKUP(B5947,'REGISTRO ABONOS'!$B$8:$BC$10012,54,0)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8"/>
        <v>105000</v>
      </c>
      <c r="K5948" t="e">
        <f>VLOOKUP(B5948,'REGISTRO ABONOS'!$B$8:$BC$10012,54,0)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8"/>
        <v>105000</v>
      </c>
      <c r="K5949" t="e">
        <f>VLOOKUP(B5949,'REGISTRO ABONOS'!$B$8:$BC$10012,54,0)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8"/>
        <v>105000</v>
      </c>
      <c r="K5950" t="e">
        <f>VLOOKUP(B5950,'REGISTRO ABONOS'!$B$8:$BC$10012,54,0)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8"/>
        <v>105000</v>
      </c>
      <c r="K5951" t="e">
        <f>VLOOKUP(B5951,'REGISTRO ABONOS'!$B$8:$BC$10012,54,0)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8"/>
        <v>105000</v>
      </c>
      <c r="K5952" t="e">
        <f>VLOOKUP(B5952,'REGISTRO ABONOS'!$B$8:$BC$10012,54,0)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8"/>
        <v>105000</v>
      </c>
      <c r="K5953" t="e">
        <f>VLOOKUP(B5953,'REGISTRO ABONOS'!$B$8:$BC$10012,54,0)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8"/>
        <v>105000</v>
      </c>
      <c r="K5954" t="e">
        <f>VLOOKUP(B5954,'REGISTRO ABONOS'!$B$8:$BC$10012,54,0)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8"/>
        <v>105000</v>
      </c>
      <c r="K5955" t="e">
        <f>VLOOKUP(B5955,'REGISTRO ABONOS'!$B$8:$BC$10012,54,0)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8"/>
        <v>105000</v>
      </c>
      <c r="K5956" t="e">
        <f>VLOOKUP(B5956,'REGISTRO ABONOS'!$B$8:$BC$10012,54,0)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8"/>
        <v>105000</v>
      </c>
      <c r="K5957" t="e">
        <f>VLOOKUP(B5957,'REGISTRO ABONOS'!$B$8:$BC$10012,54,0)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8"/>
        <v>105000</v>
      </c>
      <c r="K5958" t="e">
        <f>VLOOKUP(B5958,'REGISTRO ABONOS'!$B$8:$BC$10012,54,0)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8"/>
        <v>105000</v>
      </c>
      <c r="K5959" t="e">
        <f>VLOOKUP(B5959,'REGISTRO ABONOS'!$B$8:$BC$10012,54,0)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8"/>
        <v>105000</v>
      </c>
      <c r="K5960" t="e">
        <f>VLOOKUP(B5960,'REGISTRO ABONOS'!$B$8:$BC$10012,54,0)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8"/>
        <v>105000</v>
      </c>
      <c r="K5961" t="e">
        <f>VLOOKUP(B5961,'REGISTRO ABONOS'!$B$8:$BC$10012,54,0)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8"/>
        <v>105000</v>
      </c>
      <c r="K5962" t="e">
        <f>VLOOKUP(B5962,'REGISTRO ABONOS'!$B$8:$BC$10012,54,0)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8"/>
        <v>105000</v>
      </c>
      <c r="K5963" t="e">
        <f>VLOOKUP(B5963,'REGISTRO ABONOS'!$B$8:$BC$10012,54,0)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8"/>
        <v>105000</v>
      </c>
      <c r="K5964" t="e">
        <f>VLOOKUP(B5964,'REGISTRO ABONOS'!$B$8:$BC$10012,54,0)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8"/>
        <v>105000</v>
      </c>
      <c r="K5965" t="e">
        <f>VLOOKUP(B5965,'REGISTRO ABONOS'!$B$8:$BC$10012,54,0)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8"/>
        <v>105000</v>
      </c>
      <c r="K5966" t="e">
        <f>VLOOKUP(B5966,'REGISTRO ABONOS'!$B$8:$BC$10012,54,0)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8"/>
        <v>105000</v>
      </c>
      <c r="K5967" t="e">
        <f>VLOOKUP(B5967,'REGISTRO ABONOS'!$B$8:$BC$10012,54,0)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8"/>
        <v>105000</v>
      </c>
      <c r="K5968" t="e">
        <f>VLOOKUP(B5968,'REGISTRO ABONOS'!$B$8:$BC$10012,54,0)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8"/>
        <v>105000</v>
      </c>
      <c r="K5969" t="e">
        <f>VLOOKUP(B5969,'REGISTRO ABONOS'!$B$8:$BC$10012,54,0)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8"/>
        <v>105000</v>
      </c>
      <c r="K5970" t="e">
        <f>VLOOKUP(B5970,'REGISTRO ABONOS'!$B$8:$BC$10012,54,0)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8"/>
        <v>105000</v>
      </c>
      <c r="K5971" t="e">
        <f>VLOOKUP(B5971,'REGISTRO ABONOS'!$B$8:$BC$10012,54,0)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8"/>
        <v>105000</v>
      </c>
      <c r="K5972" t="e">
        <f>VLOOKUP(B5972,'REGISTRO ABONOS'!$B$8:$BC$10012,54,0)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8"/>
        <v>105000</v>
      </c>
      <c r="K5973" t="e">
        <f>VLOOKUP(B5973,'REGISTRO ABONOS'!$B$8:$BC$10012,54,0)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8"/>
        <v>105000</v>
      </c>
      <c r="K5974" t="e">
        <f>VLOOKUP(B5974,'REGISTRO ABONOS'!$B$8:$BC$10012,54,0)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8"/>
        <v>105000</v>
      </c>
      <c r="K5975" t="e">
        <f>VLOOKUP(B5975,'REGISTRO ABONOS'!$B$8:$BC$10012,54,0)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8"/>
        <v>105000</v>
      </c>
      <c r="K5976" t="e">
        <f>VLOOKUP(B5976,'REGISTRO ABONOS'!$B$8:$BC$10012,54,0)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8"/>
        <v>105000</v>
      </c>
      <c r="K5977" t="e">
        <f>VLOOKUP(B5977,'REGISTRO ABONOS'!$B$8:$BC$10012,54,0)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8"/>
        <v>105000</v>
      </c>
      <c r="K5978" t="e">
        <f>VLOOKUP(B5978,'REGISTRO ABONOS'!$B$8:$BC$10012,54,0)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8"/>
        <v>105000</v>
      </c>
      <c r="K5979" t="e">
        <f>VLOOKUP(B5979,'REGISTRO ABONOS'!$B$8:$BC$10012,54,0)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8"/>
        <v>105000</v>
      </c>
      <c r="K5980" t="e">
        <f>VLOOKUP(B5980,'REGISTRO ABONOS'!$B$8:$BC$10012,54,0)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8"/>
        <v>105000</v>
      </c>
      <c r="K5981" t="e">
        <f>VLOOKUP(B5981,'REGISTRO ABONOS'!$B$8:$BC$10012,54,0)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8"/>
        <v>105000</v>
      </c>
      <c r="K5982" t="e">
        <f>VLOOKUP(B5982,'REGISTRO ABONOS'!$B$8:$BC$10012,54,0)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8"/>
        <v>105000</v>
      </c>
      <c r="K5983" t="e">
        <f>VLOOKUP(B5983,'REGISTRO ABONOS'!$B$8:$BC$10012,54,0)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8"/>
        <v>105000</v>
      </c>
      <c r="K5984" t="e">
        <f>VLOOKUP(B5984,'REGISTRO ABONOS'!$B$8:$BC$10012,54,0)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8"/>
        <v>105000</v>
      </c>
      <c r="K5985" t="e">
        <f>VLOOKUP(B5985,'REGISTRO ABONOS'!$B$8:$BC$10012,54,0)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8"/>
        <v>105000</v>
      </c>
      <c r="K5986" t="e">
        <f>VLOOKUP(B5986,'REGISTRO ABONOS'!$B$8:$BC$10012,54,0)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8"/>
        <v>105000</v>
      </c>
      <c r="K5987" t="e">
        <f>VLOOKUP(B5987,'REGISTRO ABONOS'!$B$8:$BC$10012,54,0)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8"/>
        <v>105000</v>
      </c>
      <c r="K5988" t="e">
        <f>VLOOKUP(B5988,'REGISTRO ABONOS'!$B$8:$BC$10012,54,0)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8"/>
        <v>105000</v>
      </c>
      <c r="K5989" t="e">
        <f>VLOOKUP(B5989,'REGISTRO ABONOS'!$B$8:$BC$10012,54,0)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8"/>
        <v>105000</v>
      </c>
      <c r="K5990" t="e">
        <f>VLOOKUP(B5990,'REGISTRO ABONOS'!$B$8:$BC$10012,54,0)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8"/>
        <v>105000</v>
      </c>
      <c r="K5991" t="e">
        <f>VLOOKUP(B5991,'REGISTRO ABONOS'!$B$8:$BC$10012,54,0)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8"/>
        <v>105000</v>
      </c>
      <c r="K5992" t="e">
        <f>VLOOKUP(B5992,'REGISTRO ABONOS'!$B$8:$BC$10012,54,0)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8"/>
        <v>105000</v>
      </c>
      <c r="K5993" t="e">
        <f>VLOOKUP(B5993,'REGISTRO ABONOS'!$B$8:$BC$10012,54,0)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8"/>
        <v>105000</v>
      </c>
      <c r="K5994" t="e">
        <f>VLOOKUP(B5994,'REGISTRO ABONOS'!$B$8:$BC$10012,54,0)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8"/>
        <v>105000</v>
      </c>
      <c r="K5995" t="e">
        <f>VLOOKUP(B5995,'REGISTRO ABONOS'!$B$8:$BC$10012,54,0)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8"/>
        <v>105000</v>
      </c>
      <c r="K5996" t="e">
        <f>VLOOKUP(B5996,'REGISTRO ABONOS'!$B$8:$BC$10012,54,0)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8"/>
        <v>105000</v>
      </c>
      <c r="K5997" t="e">
        <f>VLOOKUP(B5997,'REGISTRO ABONOS'!$B$8:$BC$10012,54,0)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8"/>
        <v>105000</v>
      </c>
      <c r="K5998" t="e">
        <f>VLOOKUP(B5998,'REGISTRO ABONOS'!$B$8:$BC$10012,54,0)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8"/>
        <v>105000</v>
      </c>
      <c r="K5999" t="e">
        <f>VLOOKUP(B5999,'REGISTRO ABONOS'!$B$8:$BC$10012,54,0)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8"/>
        <v>105000</v>
      </c>
      <c r="K6000" t="e">
        <f>VLOOKUP(B6000,'REGISTRO ABONOS'!$B$8:$BC$10012,54,0)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8"/>
        <v>105000</v>
      </c>
      <c r="K6001" t="e">
        <f>VLOOKUP(B6001,'REGISTRO ABONOS'!$B$8:$BC$10012,54,0)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8"/>
        <v>105000</v>
      </c>
      <c r="K6002" t="e">
        <f>VLOOKUP(B6002,'REGISTRO ABONOS'!$B$8:$BC$10012,54,0)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8"/>
        <v>105000</v>
      </c>
      <c r="K6003" t="e">
        <f>VLOOKUP(B6003,'REGISTRO ABONOS'!$B$8:$BC$10012,54,0)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8"/>
        <v>105000</v>
      </c>
      <c r="K6004" t="e">
        <f>VLOOKUP(B6004,'REGISTRO ABONOS'!$B$8:$BC$10012,54,0)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8"/>
        <v>105000</v>
      </c>
      <c r="K6005" t="e">
        <f>VLOOKUP(B6005,'REGISTRO ABONOS'!$B$8:$BC$10012,54,0)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ABONOS'!$B$8:$BC$10012,54,0)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9"/>
        <v>105000</v>
      </c>
      <c r="K6007" t="e">
        <f>VLOOKUP(B6007,'REGISTRO ABONOS'!$B$8:$BC$10012,54,0)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9"/>
        <v>105000</v>
      </c>
      <c r="K6008" t="e">
        <f>VLOOKUP(B6008,'REGISTRO ABONOS'!$B$8:$BC$10012,54,0)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9"/>
        <v>105000</v>
      </c>
      <c r="K6009" t="e">
        <f>VLOOKUP(B6009,'REGISTRO ABONOS'!$B$8:$BC$10012,54,0)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9"/>
        <v>105000</v>
      </c>
      <c r="K6010" t="e">
        <f>VLOOKUP(B6010,'REGISTRO ABONOS'!$B$8:$BC$10012,54,0)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9"/>
        <v>105000</v>
      </c>
      <c r="K6011" t="e">
        <f>VLOOKUP(B6011,'REGISTRO ABONOS'!$B$8:$BC$10012,54,0)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9"/>
        <v>105000</v>
      </c>
      <c r="K6012" t="e">
        <f>VLOOKUP(B6012,'REGISTRO ABONOS'!$B$8:$BC$10012,54,0)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9"/>
        <v>105000</v>
      </c>
      <c r="K6013" t="e">
        <f>VLOOKUP(B6013,'REGISTRO ABONOS'!$B$8:$BC$10012,54,0)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9"/>
        <v>105000</v>
      </c>
      <c r="K6014" t="e">
        <f>VLOOKUP(B6014,'REGISTRO ABONOS'!$B$8:$BC$10012,54,0)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9"/>
        <v>105000</v>
      </c>
      <c r="K6015" t="e">
        <f>VLOOKUP(B6015,'REGISTRO ABONOS'!$B$8:$BC$10012,54,0)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9"/>
        <v>105000</v>
      </c>
      <c r="K6016" t="e">
        <f>VLOOKUP(B6016,'REGISTRO ABONOS'!$B$8:$BC$10012,54,0)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9"/>
        <v>105000</v>
      </c>
      <c r="K6017" t="e">
        <f>VLOOKUP(B6017,'REGISTRO ABONOS'!$B$8:$BC$10012,54,0)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9"/>
        <v>105000</v>
      </c>
      <c r="K6018" t="e">
        <f>VLOOKUP(B6018,'REGISTRO ABONOS'!$B$8:$BC$10012,54,0)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9"/>
        <v>105000</v>
      </c>
      <c r="K6019" t="e">
        <f>VLOOKUP(B6019,'REGISTRO ABONOS'!$B$8:$BC$10012,54,0)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9"/>
        <v>105000</v>
      </c>
      <c r="K6020" t="e">
        <f>VLOOKUP(B6020,'REGISTRO ABONOS'!$B$8:$BC$10012,54,0)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9"/>
        <v>105000</v>
      </c>
      <c r="K6021" t="e">
        <f>VLOOKUP(B6021,'REGISTRO ABONOS'!$B$8:$BC$10012,54,0)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9"/>
        <v>105000</v>
      </c>
      <c r="K6022" t="e">
        <f>VLOOKUP(B6022,'REGISTRO ABONOS'!$B$8:$BC$10012,54,0)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9"/>
        <v>105000</v>
      </c>
      <c r="K6023" t="e">
        <f>VLOOKUP(B6023,'REGISTRO ABONOS'!$B$8:$BC$10012,54,0)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9"/>
        <v>105000</v>
      </c>
      <c r="K6024" t="e">
        <f>VLOOKUP(B6024,'REGISTRO ABONOS'!$B$8:$BC$10012,54,0)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9"/>
        <v>105000</v>
      </c>
      <c r="K6025" t="e">
        <f>VLOOKUP(B6025,'REGISTRO ABONOS'!$B$8:$BC$10012,54,0)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9"/>
        <v>105000</v>
      </c>
      <c r="K6026" t="e">
        <f>VLOOKUP(B6026,'REGISTRO ABONOS'!$B$8:$BC$10012,54,0)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9"/>
        <v>105000</v>
      </c>
      <c r="K6027" t="e">
        <f>VLOOKUP(B6027,'REGISTRO ABONOS'!$B$8:$BC$10012,54,0)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9"/>
        <v>105000</v>
      </c>
      <c r="K6028" t="e">
        <f>VLOOKUP(B6028,'REGISTRO ABONOS'!$B$8:$BC$10012,54,0)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9"/>
        <v>105000</v>
      </c>
      <c r="K6029" t="e">
        <f>VLOOKUP(B6029,'REGISTRO ABONOS'!$B$8:$BC$10012,54,0)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9"/>
        <v>105000</v>
      </c>
      <c r="K6030" t="e">
        <f>VLOOKUP(B6030,'REGISTRO ABONOS'!$B$8:$BC$10012,54,0)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9"/>
        <v>105000</v>
      </c>
      <c r="K6031" t="e">
        <f>VLOOKUP(B6031,'REGISTRO ABONOS'!$B$8:$BC$10012,54,0)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9"/>
        <v>105000</v>
      </c>
      <c r="K6032" t="e">
        <f>VLOOKUP(B6032,'REGISTRO ABONOS'!$B$8:$BC$10012,54,0)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9"/>
        <v>105000</v>
      </c>
      <c r="K6033" t="e">
        <f>VLOOKUP(B6033,'REGISTRO ABONOS'!$B$8:$BC$10012,54,0)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9"/>
        <v>105000</v>
      </c>
      <c r="K6034" t="e">
        <f>VLOOKUP(B6034,'REGISTRO ABONOS'!$B$8:$BC$10012,54,0)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9"/>
        <v>105000</v>
      </c>
      <c r="K6035" t="e">
        <f>VLOOKUP(B6035,'REGISTRO ABONOS'!$B$8:$BC$10012,54,0)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9"/>
        <v>105000</v>
      </c>
      <c r="K6036" t="e">
        <f>VLOOKUP(B6036,'REGISTRO ABONOS'!$B$8:$BC$10012,54,0)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9"/>
        <v>105000</v>
      </c>
      <c r="K6037" t="e">
        <f>VLOOKUP(B6037,'REGISTRO ABONOS'!$B$8:$BC$10012,54,0)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9"/>
        <v>105000</v>
      </c>
      <c r="K6038" t="e">
        <f>VLOOKUP(B6038,'REGISTRO ABONOS'!$B$8:$BC$10012,54,0)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9"/>
        <v>105000</v>
      </c>
      <c r="K6039" t="e">
        <f>VLOOKUP(B6039,'REGISTRO ABONOS'!$B$8:$BC$10012,54,0)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9"/>
        <v>105000</v>
      </c>
      <c r="K6040" t="e">
        <f>VLOOKUP(B6040,'REGISTRO ABONOS'!$B$8:$BC$10012,54,0)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9"/>
        <v>105000</v>
      </c>
      <c r="K6041" t="e">
        <f>VLOOKUP(B6041,'REGISTRO ABONOS'!$B$8:$BC$10012,54,0)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9"/>
        <v>105000</v>
      </c>
      <c r="K6042" t="e">
        <f>VLOOKUP(B6042,'REGISTRO ABONOS'!$B$8:$BC$10012,54,0)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9"/>
        <v>105000</v>
      </c>
      <c r="K6043" t="e">
        <f>VLOOKUP(B6043,'REGISTRO ABONOS'!$B$8:$BC$10012,54,0)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9"/>
        <v>105000</v>
      </c>
      <c r="K6044" t="e">
        <f>VLOOKUP(B6044,'REGISTRO ABONOS'!$B$8:$BC$10012,54,0)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9"/>
        <v>105000</v>
      </c>
      <c r="K6045" t="e">
        <f>VLOOKUP(B6045,'REGISTRO ABONOS'!$B$8:$BC$10012,54,0)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9"/>
        <v>105000</v>
      </c>
      <c r="K6046" t="e">
        <f>VLOOKUP(B6046,'REGISTRO ABONOS'!$B$8:$BC$10012,54,0)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9"/>
        <v>105000</v>
      </c>
      <c r="K6047" t="e">
        <f>VLOOKUP(B6047,'REGISTRO ABONOS'!$B$8:$BC$10012,54,0)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9"/>
        <v>105000</v>
      </c>
      <c r="K6048" t="e">
        <f>VLOOKUP(B6048,'REGISTRO ABONOS'!$B$8:$BC$10012,54,0)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9"/>
        <v>105000</v>
      </c>
      <c r="K6049" t="e">
        <f>VLOOKUP(B6049,'REGISTRO ABONOS'!$B$8:$BC$10012,54,0)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J6050">
        <f t="shared" si="99"/>
        <v>105000</v>
      </c>
      <c r="K6050" t="e">
        <f>VLOOKUP(B6050,'REGISTRO ABONOS'!$B$8:$BC$10012,54,0)</f>
        <v>#N/A</v>
      </c>
      <c r="L6050" t="e">
        <f>IF(Tabla26[[#This Row],[VALOR RESTANTE]]&lt;Tabla26[[#This Row],[VALOR]],"NO DISPONIBLE","DISPONIBLE")</f>
        <v>#N/A</v>
      </c>
      <c r="M6050" s="9">
        <f>COUNTIF(Tabla26[[#This Row],[VALOR RESTANTE]],0)</f>
        <v>0</v>
      </c>
    </row>
    <row r="6051" spans="2:13" x14ac:dyDescent="0.2">
      <c r="B6051" s="31">
        <v>6042</v>
      </c>
      <c r="J6051">
        <f t="shared" si="99"/>
        <v>105000</v>
      </c>
      <c r="K6051" t="e">
        <f>VLOOKUP(B6051,'REGISTRO ABONOS'!$B$8:$BC$10012,54,0)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9"/>
        <v>105000</v>
      </c>
      <c r="K6052" t="e">
        <f>VLOOKUP(B6052,'REGISTRO ABONOS'!$B$8:$BC$10012,54,0)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9"/>
        <v>105000</v>
      </c>
      <c r="K6053" t="e">
        <f>VLOOKUP(B6053,'REGISTRO ABONOS'!$B$8:$BC$10012,54,0)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9"/>
        <v>105000</v>
      </c>
      <c r="K6054" t="e">
        <f>VLOOKUP(B6054,'REGISTRO ABONOS'!$B$8:$BC$10012,54,0)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9"/>
        <v>105000</v>
      </c>
      <c r="K6055" t="e">
        <f>VLOOKUP(B6055,'REGISTRO ABONOS'!$B$8:$BC$10012,54,0)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9"/>
        <v>105000</v>
      </c>
      <c r="K6056" t="e">
        <f>VLOOKUP(B6056,'REGISTRO ABONOS'!$B$8:$BC$10012,54,0)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9"/>
        <v>105000</v>
      </c>
      <c r="K6057" t="e">
        <f>VLOOKUP(B6057,'REGISTRO ABONOS'!$B$8:$BC$10012,54,0)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9"/>
        <v>105000</v>
      </c>
      <c r="K6058" t="e">
        <f>VLOOKUP(B6058,'REGISTRO ABONOS'!$B$8:$BC$10012,54,0)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9"/>
        <v>105000</v>
      </c>
      <c r="K6059" t="e">
        <f>VLOOKUP(B6059,'REGISTRO ABONOS'!$B$8:$BC$10012,54,0)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9"/>
        <v>105000</v>
      </c>
      <c r="K6060" t="e">
        <f>VLOOKUP(B6060,'REGISTRO ABONOS'!$B$8:$BC$10012,54,0)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9"/>
        <v>105000</v>
      </c>
      <c r="K6061" t="e">
        <f>VLOOKUP(B6061,'REGISTRO ABONOS'!$B$8:$BC$10012,54,0)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9"/>
        <v>105000</v>
      </c>
      <c r="K6062" t="e">
        <f>VLOOKUP(B6062,'REGISTRO ABONOS'!$B$8:$BC$10012,54,0)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9"/>
        <v>105000</v>
      </c>
      <c r="K6063" t="e">
        <f>VLOOKUP(B6063,'REGISTRO ABONOS'!$B$8:$BC$10012,54,0)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9"/>
        <v>105000</v>
      </c>
      <c r="K6064" t="e">
        <f>VLOOKUP(B6064,'REGISTRO ABONOS'!$B$8:$BC$10012,54,0)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9"/>
        <v>105000</v>
      </c>
      <c r="K6065" t="e">
        <f>VLOOKUP(B6065,'REGISTRO ABONOS'!$B$8:$BC$10012,54,0)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9"/>
        <v>105000</v>
      </c>
      <c r="K6066" t="e">
        <f>VLOOKUP(B6066,'REGISTRO ABONOS'!$B$8:$BC$10012,54,0)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9"/>
        <v>105000</v>
      </c>
      <c r="K6067" t="e">
        <f>VLOOKUP(B6067,'REGISTRO ABONOS'!$B$8:$BC$10012,54,0)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9"/>
        <v>105000</v>
      </c>
      <c r="K6068" t="e">
        <f>VLOOKUP(B6068,'REGISTRO ABONOS'!$B$8:$BC$10012,54,0)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9"/>
        <v>105000</v>
      </c>
      <c r="K6069" t="e">
        <f>VLOOKUP(B6069,'REGISTRO ABONOS'!$B$8:$BC$10012,54,0)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ABONOS'!$B$8:$BC$10012,54,0)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100"/>
        <v>105000</v>
      </c>
      <c r="K6071" t="e">
        <f>VLOOKUP(B6071,'REGISTRO ABONOS'!$B$8:$BC$10012,54,0)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100"/>
        <v>105000</v>
      </c>
      <c r="K6072" t="e">
        <f>VLOOKUP(B6072,'REGISTRO ABONOS'!$B$8:$BC$10012,54,0)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100"/>
        <v>105000</v>
      </c>
      <c r="K6073" t="e">
        <f>VLOOKUP(B6073,'REGISTRO ABONOS'!$B$8:$BC$10012,54,0)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100"/>
        <v>105000</v>
      </c>
      <c r="K6074" t="e">
        <f>VLOOKUP(B6074,'REGISTRO ABONOS'!$B$8:$BC$10012,54,0)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100"/>
        <v>105000</v>
      </c>
      <c r="K6075" t="e">
        <f>VLOOKUP(B6075,'REGISTRO ABONOS'!$B$8:$BC$10012,54,0)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100"/>
        <v>105000</v>
      </c>
      <c r="K6076" t="e">
        <f>VLOOKUP(B6076,'REGISTRO ABONOS'!$B$8:$BC$10012,54,0)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100"/>
        <v>105000</v>
      </c>
      <c r="K6077" t="e">
        <f>VLOOKUP(B6077,'REGISTRO ABONOS'!$B$8:$BC$10012,54,0)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100"/>
        <v>105000</v>
      </c>
      <c r="K6078" t="e">
        <f>VLOOKUP(B6078,'REGISTRO ABONOS'!$B$8:$BC$10012,54,0)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100"/>
        <v>105000</v>
      </c>
      <c r="K6079" t="e">
        <f>VLOOKUP(B6079,'REGISTRO ABONOS'!$B$8:$BC$10012,54,0)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100"/>
        <v>105000</v>
      </c>
      <c r="K6080" t="e">
        <f>VLOOKUP(B6080,'REGISTRO ABONOS'!$B$8:$BC$10012,54,0)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100"/>
        <v>105000</v>
      </c>
      <c r="K6081" t="e">
        <f>VLOOKUP(B6081,'REGISTRO ABONOS'!$B$8:$BC$10012,54,0)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100"/>
        <v>105000</v>
      </c>
      <c r="K6082" t="e">
        <f>VLOOKUP(B6082,'REGISTRO ABONOS'!$B$8:$BC$10012,54,0)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100"/>
        <v>105000</v>
      </c>
      <c r="K6083" t="e">
        <f>VLOOKUP(B6083,'REGISTRO ABONOS'!$B$8:$BC$10012,54,0)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100"/>
        <v>105000</v>
      </c>
      <c r="K6084" t="e">
        <f>VLOOKUP(B6084,'REGISTRO ABONOS'!$B$8:$BC$10012,54,0)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100"/>
        <v>105000</v>
      </c>
      <c r="K6085" t="e">
        <f>VLOOKUP(B6085,'REGISTRO ABONOS'!$B$8:$BC$10012,54,0)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100"/>
        <v>105000</v>
      </c>
      <c r="K6086" t="e">
        <f>VLOOKUP(B6086,'REGISTRO ABONOS'!$B$8:$BC$10012,54,0)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100"/>
        <v>105000</v>
      </c>
      <c r="K6087" t="e">
        <f>VLOOKUP(B6087,'REGISTRO ABONOS'!$B$8:$BC$10012,54,0)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100"/>
        <v>105000</v>
      </c>
      <c r="K6088" t="e">
        <f>VLOOKUP(B6088,'REGISTRO ABONOS'!$B$8:$BC$10012,54,0)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100"/>
        <v>105000</v>
      </c>
      <c r="K6089" t="e">
        <f>VLOOKUP(B6089,'REGISTRO ABONOS'!$B$8:$BC$10012,54,0)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100"/>
        <v>105000</v>
      </c>
      <c r="K6090" t="e">
        <f>VLOOKUP(B6090,'REGISTRO ABONOS'!$B$8:$BC$10012,54,0)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100"/>
        <v>105000</v>
      </c>
      <c r="K6091" t="e">
        <f>VLOOKUP(B6091,'REGISTRO ABONOS'!$B$8:$BC$10012,54,0)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100"/>
        <v>105000</v>
      </c>
      <c r="K6092" t="e">
        <f>VLOOKUP(B6092,'REGISTRO ABONOS'!$B$8:$BC$10012,54,0)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100"/>
        <v>105000</v>
      </c>
      <c r="K6093" t="e">
        <f>VLOOKUP(B6093,'REGISTRO ABONOS'!$B$8:$BC$10012,54,0)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100"/>
        <v>105000</v>
      </c>
      <c r="K6094" t="e">
        <f>VLOOKUP(B6094,'REGISTRO ABONOS'!$B$8:$BC$10012,54,0)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100"/>
        <v>105000</v>
      </c>
      <c r="K6095" t="e">
        <f>VLOOKUP(B6095,'REGISTRO ABONOS'!$B$8:$BC$10012,54,0)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100"/>
        <v>105000</v>
      </c>
      <c r="K6096" t="e">
        <f>VLOOKUP(B6096,'REGISTRO ABONOS'!$B$8:$BC$10012,54,0)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100"/>
        <v>105000</v>
      </c>
      <c r="K6097" t="e">
        <f>VLOOKUP(B6097,'REGISTRO ABONOS'!$B$8:$BC$10012,54,0)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100"/>
        <v>105000</v>
      </c>
      <c r="K6098" t="e">
        <f>VLOOKUP(B6098,'REGISTRO ABONOS'!$B$8:$BC$10012,54,0)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100"/>
        <v>105000</v>
      </c>
      <c r="K6099" t="e">
        <f>VLOOKUP(B6099,'REGISTRO ABONOS'!$B$8:$BC$10012,54,0)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100"/>
        <v>105000</v>
      </c>
      <c r="K6100" t="e">
        <f>VLOOKUP(B6100,'REGISTRO ABONOS'!$B$8:$BC$10012,54,0)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100"/>
        <v>105000</v>
      </c>
      <c r="K6101" t="e">
        <f>VLOOKUP(B6101,'REGISTRO ABONOS'!$B$8:$BC$10012,54,0)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100"/>
        <v>105000</v>
      </c>
      <c r="K6102" t="e">
        <f>VLOOKUP(B6102,'REGISTRO ABONOS'!$B$8:$BC$10012,54,0)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100"/>
        <v>105000</v>
      </c>
      <c r="K6103" t="e">
        <f>VLOOKUP(B6103,'REGISTRO ABONOS'!$B$8:$BC$10012,54,0)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100"/>
        <v>105000</v>
      </c>
      <c r="K6104" t="e">
        <f>VLOOKUP(B6104,'REGISTRO ABONOS'!$B$8:$BC$10012,54,0)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100"/>
        <v>105000</v>
      </c>
      <c r="K6105" t="e">
        <f>VLOOKUP(B6105,'REGISTRO ABONOS'!$B$8:$BC$10012,54,0)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100"/>
        <v>105000</v>
      </c>
      <c r="K6106" t="e">
        <f>VLOOKUP(B6106,'REGISTRO ABONOS'!$B$8:$BC$10012,54,0)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100"/>
        <v>105000</v>
      </c>
      <c r="K6107" t="e">
        <f>VLOOKUP(B6107,'REGISTRO ABONOS'!$B$8:$BC$10012,54,0)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100"/>
        <v>105000</v>
      </c>
      <c r="K6108" t="e">
        <f>VLOOKUP(B6108,'REGISTRO ABONOS'!$B$8:$BC$10012,54,0)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100"/>
        <v>105000</v>
      </c>
      <c r="K6109" t="e">
        <f>VLOOKUP(B6109,'REGISTRO ABONOS'!$B$8:$BC$10012,54,0)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100"/>
        <v>105000</v>
      </c>
      <c r="K6110" t="e">
        <f>VLOOKUP(B6110,'REGISTRO ABONOS'!$B$8:$BC$10012,54,0)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100"/>
        <v>105000</v>
      </c>
      <c r="K6111" t="e">
        <f>VLOOKUP(B6111,'REGISTRO ABONOS'!$B$8:$BC$10012,54,0)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100"/>
        <v>105000</v>
      </c>
      <c r="K6112" t="e">
        <f>VLOOKUP(B6112,'REGISTRO ABONOS'!$B$8:$BC$10012,54,0)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100"/>
        <v>105000</v>
      </c>
      <c r="K6113" t="e">
        <f>VLOOKUP(B6113,'REGISTRO ABONOS'!$B$8:$BC$10012,54,0)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100"/>
        <v>105000</v>
      </c>
      <c r="K6114" t="e">
        <f>VLOOKUP(B6114,'REGISTRO ABONOS'!$B$8:$BC$10012,54,0)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100"/>
        <v>105000</v>
      </c>
      <c r="K6115" t="e">
        <f>VLOOKUP(B6115,'REGISTRO ABONOS'!$B$8:$BC$10012,54,0)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100"/>
        <v>105000</v>
      </c>
      <c r="K6116" t="e">
        <f>VLOOKUP(B6116,'REGISTRO ABONOS'!$B$8:$BC$10012,54,0)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100"/>
        <v>105000</v>
      </c>
      <c r="K6117" t="e">
        <f>VLOOKUP(B6117,'REGISTRO ABONOS'!$B$8:$BC$10012,54,0)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100"/>
        <v>105000</v>
      </c>
      <c r="K6118" t="e">
        <f>VLOOKUP(B6118,'REGISTRO ABONOS'!$B$8:$BC$10012,54,0)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100"/>
        <v>105000</v>
      </c>
      <c r="K6119" t="e">
        <f>VLOOKUP(B6119,'REGISTRO ABONOS'!$B$8:$BC$10012,54,0)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100"/>
        <v>105000</v>
      </c>
      <c r="K6120" t="e">
        <f>VLOOKUP(B6120,'REGISTRO ABONOS'!$B$8:$BC$10012,54,0)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100"/>
        <v>105000</v>
      </c>
      <c r="K6121" t="e">
        <f>VLOOKUP(B6121,'REGISTRO ABONOS'!$B$8:$BC$10012,54,0)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100"/>
        <v>105000</v>
      </c>
      <c r="K6122" t="e">
        <f>VLOOKUP(B6122,'REGISTRO ABONOS'!$B$8:$BC$10012,54,0)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100"/>
        <v>105000</v>
      </c>
      <c r="K6123" t="e">
        <f>VLOOKUP(B6123,'REGISTRO ABONOS'!$B$8:$BC$10012,54,0)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100"/>
        <v>105000</v>
      </c>
      <c r="K6124" t="e">
        <f>VLOOKUP(B6124,'REGISTRO ABONOS'!$B$8:$BC$10012,54,0)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100"/>
        <v>105000</v>
      </c>
      <c r="K6125" t="e">
        <f>VLOOKUP(B6125,'REGISTRO ABONOS'!$B$8:$BC$10012,54,0)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100"/>
        <v>105000</v>
      </c>
      <c r="K6126" t="e">
        <f>VLOOKUP(B6126,'REGISTRO ABONOS'!$B$8:$BC$10012,54,0)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100"/>
        <v>105000</v>
      </c>
      <c r="K6127" t="e">
        <f>VLOOKUP(B6127,'REGISTRO ABONOS'!$B$8:$BC$10012,54,0)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100"/>
        <v>105000</v>
      </c>
      <c r="K6128" t="e">
        <f>VLOOKUP(B6128,'REGISTRO ABONOS'!$B$8:$BC$10012,54,0)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100"/>
        <v>105000</v>
      </c>
      <c r="K6129" t="e">
        <f>VLOOKUP(B6129,'REGISTRO ABONOS'!$B$8:$BC$10012,54,0)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100"/>
        <v>105000</v>
      </c>
      <c r="K6130" t="e">
        <f>VLOOKUP(B6130,'REGISTRO ABONOS'!$B$8:$BC$10012,54,0)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100"/>
        <v>105000</v>
      </c>
      <c r="K6131" t="e">
        <f>VLOOKUP(B6131,'REGISTRO ABONOS'!$B$8:$BC$10012,54,0)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100"/>
        <v>105000</v>
      </c>
      <c r="K6132" t="e">
        <f>VLOOKUP(B6132,'REGISTRO ABONOS'!$B$8:$BC$10012,54,0)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100"/>
        <v>105000</v>
      </c>
      <c r="K6133" t="e">
        <f>VLOOKUP(B6133,'REGISTRO ABONOS'!$B$8:$BC$10012,54,0)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ABONOS'!$B$8:$BC$10012,54,0)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1"/>
        <v>105000</v>
      </c>
      <c r="K6135" t="e">
        <f>VLOOKUP(B6135,'REGISTRO ABONOS'!$B$8:$BC$10012,54,0)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J6136">
        <f t="shared" si="101"/>
        <v>105000</v>
      </c>
      <c r="K6136" t="e">
        <f>VLOOKUP(B6136,'REGISTRO ABONOS'!$B$8:$BC$10012,54,0)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1"/>
        <v>105000</v>
      </c>
      <c r="K6137" t="e">
        <f>VLOOKUP(B6137,'REGISTRO ABONOS'!$B$8:$BC$10012,54,0)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1"/>
        <v>105000</v>
      </c>
      <c r="K6138" t="e">
        <f>VLOOKUP(B6138,'REGISTRO ABONOS'!$B$8:$BC$10012,54,0)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1"/>
        <v>105000</v>
      </c>
      <c r="K6139" t="e">
        <f>VLOOKUP(B6139,'REGISTRO ABONOS'!$B$8:$BC$10012,54,0)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1"/>
        <v>105000</v>
      </c>
      <c r="K6140" t="e">
        <f>VLOOKUP(B6140,'REGISTRO ABONOS'!$B$8:$BC$10012,54,0)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1"/>
        <v>105000</v>
      </c>
      <c r="K6141" t="e">
        <f>VLOOKUP(B6141,'REGISTRO ABONOS'!$B$8:$BC$10012,54,0)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1"/>
        <v>105000</v>
      </c>
      <c r="K6142" t="e">
        <f>VLOOKUP(B6142,'REGISTRO ABONOS'!$B$8:$BC$10012,54,0)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1"/>
        <v>105000</v>
      </c>
      <c r="K6143" t="e">
        <f>VLOOKUP(B6143,'REGISTRO ABONOS'!$B$8:$BC$10012,54,0)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1"/>
        <v>105000</v>
      </c>
      <c r="K6144" t="e">
        <f>VLOOKUP(B6144,'REGISTRO ABONOS'!$B$8:$BC$10012,54,0)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1"/>
        <v>105000</v>
      </c>
      <c r="K6145" t="e">
        <f>VLOOKUP(B6145,'REGISTRO ABONOS'!$B$8:$BC$10012,54,0)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1"/>
        <v>105000</v>
      </c>
      <c r="K6146" t="e">
        <f>VLOOKUP(B6146,'REGISTRO ABONOS'!$B$8:$BC$10012,54,0)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1"/>
        <v>105000</v>
      </c>
      <c r="K6147" t="e">
        <f>VLOOKUP(B6147,'REGISTRO ABONOS'!$B$8:$BC$10012,54,0)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1"/>
        <v>105000</v>
      </c>
      <c r="K6148" t="e">
        <f>VLOOKUP(B6148,'REGISTRO ABONOS'!$B$8:$BC$10012,54,0)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1"/>
        <v>105000</v>
      </c>
      <c r="K6149" t="e">
        <f>VLOOKUP(B6149,'REGISTRO ABONOS'!$B$8:$BC$10012,54,0)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1"/>
        <v>105000</v>
      </c>
      <c r="K6150" t="e">
        <f>VLOOKUP(B6150,'REGISTRO ABONOS'!$B$8:$BC$10012,54,0)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1"/>
        <v>105000</v>
      </c>
      <c r="K6151" t="e">
        <f>VLOOKUP(B6151,'REGISTRO ABONOS'!$B$8:$BC$10012,54,0)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1"/>
        <v>105000</v>
      </c>
      <c r="K6152" t="e">
        <f>VLOOKUP(B6152,'REGISTRO ABONOS'!$B$8:$BC$10012,54,0)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1"/>
        <v>105000</v>
      </c>
      <c r="K6153" t="e">
        <f>VLOOKUP(B6153,'REGISTRO ABONOS'!$B$8:$BC$10012,54,0)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1"/>
        <v>105000</v>
      </c>
      <c r="K6154" t="e">
        <f>VLOOKUP(B6154,'REGISTRO ABONOS'!$B$8:$BC$10012,54,0)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1"/>
        <v>105000</v>
      </c>
      <c r="K6155" t="e">
        <f>VLOOKUP(B6155,'REGISTRO ABONOS'!$B$8:$BC$10012,54,0)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1"/>
        <v>105000</v>
      </c>
      <c r="K6156" t="e">
        <f>VLOOKUP(B6156,'REGISTRO ABONOS'!$B$8:$BC$10012,54,0)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1"/>
        <v>105000</v>
      </c>
      <c r="K6157" t="e">
        <f>VLOOKUP(B6157,'REGISTRO ABONOS'!$B$8:$BC$10012,54,0)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1"/>
        <v>105000</v>
      </c>
      <c r="K6158" t="e">
        <f>VLOOKUP(B6158,'REGISTRO ABONOS'!$B$8:$BC$10012,54,0)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1"/>
        <v>105000</v>
      </c>
      <c r="K6159" t="e">
        <f>VLOOKUP(B6159,'REGISTRO ABONOS'!$B$8:$BC$10012,54,0)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1"/>
        <v>105000</v>
      </c>
      <c r="K6160" t="e">
        <f>VLOOKUP(B6160,'REGISTRO ABONOS'!$B$8:$BC$10012,54,0)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1"/>
        <v>105000</v>
      </c>
      <c r="K6161" t="e">
        <f>VLOOKUP(B6161,'REGISTRO ABONOS'!$B$8:$BC$10012,54,0)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1"/>
        <v>105000</v>
      </c>
      <c r="K6162" t="e">
        <f>VLOOKUP(B6162,'REGISTRO ABONOS'!$B$8:$BC$10012,54,0)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1"/>
        <v>105000</v>
      </c>
      <c r="K6163" t="e">
        <f>VLOOKUP(B6163,'REGISTRO ABONOS'!$B$8:$BC$10012,54,0)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1"/>
        <v>105000</v>
      </c>
      <c r="K6164" t="e">
        <f>VLOOKUP(B6164,'REGISTRO ABONOS'!$B$8:$BC$10012,54,0)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1"/>
        <v>105000</v>
      </c>
      <c r="K6165" t="e">
        <f>VLOOKUP(B6165,'REGISTRO ABONOS'!$B$8:$BC$10012,54,0)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1"/>
        <v>105000</v>
      </c>
      <c r="K6166" t="e">
        <f>VLOOKUP(B6166,'REGISTRO ABONOS'!$B$8:$BC$10012,54,0)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1"/>
        <v>105000</v>
      </c>
      <c r="K6167" t="e">
        <f>VLOOKUP(B6167,'REGISTRO ABONOS'!$B$8:$BC$10012,54,0)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1"/>
        <v>105000</v>
      </c>
      <c r="K6168" t="e">
        <f>VLOOKUP(B6168,'REGISTRO ABONOS'!$B$8:$BC$10012,54,0)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1"/>
        <v>105000</v>
      </c>
      <c r="K6169" t="e">
        <f>VLOOKUP(B6169,'REGISTRO ABONOS'!$B$8:$BC$10012,54,0)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1"/>
        <v>105000</v>
      </c>
      <c r="K6170" t="e">
        <f>VLOOKUP(B6170,'REGISTRO ABONOS'!$B$8:$BC$10012,54,0)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1"/>
        <v>105000</v>
      </c>
      <c r="K6171" t="e">
        <f>VLOOKUP(B6171,'REGISTRO ABONOS'!$B$8:$BC$10012,54,0)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1"/>
        <v>105000</v>
      </c>
      <c r="K6172" t="e">
        <f>VLOOKUP(B6172,'REGISTRO ABONOS'!$B$8:$BC$10012,54,0)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1"/>
        <v>105000</v>
      </c>
      <c r="K6173" t="e">
        <f>VLOOKUP(B6173,'REGISTRO ABONOS'!$B$8:$BC$10012,54,0)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1"/>
        <v>105000</v>
      </c>
      <c r="K6174" t="e">
        <f>VLOOKUP(B6174,'REGISTRO ABONOS'!$B$8:$BC$10012,54,0)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1"/>
        <v>105000</v>
      </c>
      <c r="K6175" t="e">
        <f>VLOOKUP(B6175,'REGISTRO ABONOS'!$B$8:$BC$10012,54,0)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1"/>
        <v>105000</v>
      </c>
      <c r="K6176" t="e">
        <f>VLOOKUP(B6176,'REGISTRO ABONOS'!$B$8:$BC$10012,54,0)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1"/>
        <v>105000</v>
      </c>
      <c r="K6177" t="e">
        <f>VLOOKUP(B6177,'REGISTRO ABONOS'!$B$8:$BC$10012,54,0)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1"/>
        <v>105000</v>
      </c>
      <c r="K6178" t="e">
        <f>VLOOKUP(B6178,'REGISTRO ABONOS'!$B$8:$BC$10012,54,0)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1"/>
        <v>105000</v>
      </c>
      <c r="K6179" t="e">
        <f>VLOOKUP(B6179,'REGISTRO ABONOS'!$B$8:$BC$10012,54,0)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1"/>
        <v>105000</v>
      </c>
      <c r="K6180" t="e">
        <f>VLOOKUP(B6180,'REGISTRO ABONOS'!$B$8:$BC$10012,54,0)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1"/>
        <v>105000</v>
      </c>
      <c r="K6181" t="e">
        <f>VLOOKUP(B6181,'REGISTRO ABONOS'!$B$8:$BC$10012,54,0)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1"/>
        <v>105000</v>
      </c>
      <c r="K6182" t="e">
        <f>VLOOKUP(B6182,'REGISTRO ABONOS'!$B$8:$BC$10012,54,0)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1"/>
        <v>105000</v>
      </c>
      <c r="K6183" t="e">
        <f>VLOOKUP(B6183,'REGISTRO ABONOS'!$B$8:$BC$10012,54,0)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1"/>
        <v>105000</v>
      </c>
      <c r="K6184" t="e">
        <f>VLOOKUP(B6184,'REGISTRO ABONOS'!$B$8:$BC$10012,54,0)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1"/>
        <v>105000</v>
      </c>
      <c r="K6185" t="e">
        <f>VLOOKUP(B6185,'REGISTRO ABONOS'!$B$8:$BC$10012,54,0)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1"/>
        <v>105000</v>
      </c>
      <c r="K6186" t="e">
        <f>VLOOKUP(B6186,'REGISTRO ABONOS'!$B$8:$BC$10012,54,0)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1"/>
        <v>105000</v>
      </c>
      <c r="K6187" t="e">
        <f>VLOOKUP(B6187,'REGISTRO ABONOS'!$B$8:$BC$10012,54,0)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1"/>
        <v>105000</v>
      </c>
      <c r="K6188" t="e">
        <f>VLOOKUP(B6188,'REGISTRO ABONOS'!$B$8:$BC$10012,54,0)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1"/>
        <v>105000</v>
      </c>
      <c r="K6189" t="e">
        <f>VLOOKUP(B6189,'REGISTRO ABONOS'!$B$8:$BC$10012,54,0)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1"/>
        <v>105000</v>
      </c>
      <c r="K6190" t="e">
        <f>VLOOKUP(B6190,'REGISTRO ABONOS'!$B$8:$BC$10012,54,0)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1"/>
        <v>105000</v>
      </c>
      <c r="K6191" t="e">
        <f>VLOOKUP(B6191,'REGISTRO ABONOS'!$B$8:$BC$10012,54,0)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1"/>
        <v>105000</v>
      </c>
      <c r="K6192" t="e">
        <f>VLOOKUP(B6192,'REGISTRO ABONOS'!$B$8:$BC$10012,54,0)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1"/>
        <v>105000</v>
      </c>
      <c r="K6193" t="e">
        <f>VLOOKUP(B6193,'REGISTRO ABONOS'!$B$8:$BC$10012,54,0)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1"/>
        <v>105000</v>
      </c>
      <c r="K6194" t="e">
        <f>VLOOKUP(B6194,'REGISTRO ABONOS'!$B$8:$BC$10012,54,0)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1"/>
        <v>105000</v>
      </c>
      <c r="K6195" t="e">
        <f>VLOOKUP(B6195,'REGISTRO ABONOS'!$B$8:$BC$10012,54,0)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1"/>
        <v>105000</v>
      </c>
      <c r="K6196" t="e">
        <f>VLOOKUP(B6196,'REGISTRO ABONOS'!$B$8:$BC$10012,54,0)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1"/>
        <v>105000</v>
      </c>
      <c r="K6197" t="e">
        <f>VLOOKUP(B6197,'REGISTRO ABONOS'!$B$8:$BC$10012,54,0)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ABONOS'!$B$8:$BC$10012,54,0)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2"/>
        <v>105000</v>
      </c>
      <c r="K6199" t="e">
        <f>VLOOKUP(B6199,'REGISTRO ABONOS'!$B$8:$BC$10012,54,0)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2"/>
        <v>105000</v>
      </c>
      <c r="K6200" t="e">
        <f>VLOOKUP(B6200,'REGISTRO ABONOS'!$B$8:$BC$10012,54,0)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2"/>
        <v>105000</v>
      </c>
      <c r="K6201" t="e">
        <f>VLOOKUP(B6201,'REGISTRO ABONOS'!$B$8:$BC$10012,54,0)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2"/>
        <v>105000</v>
      </c>
      <c r="K6202" t="e">
        <f>VLOOKUP(B6202,'REGISTRO ABONOS'!$B$8:$BC$10012,54,0)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2"/>
        <v>105000</v>
      </c>
      <c r="K6203" t="e">
        <f>VLOOKUP(B6203,'REGISTRO ABONOS'!$B$8:$BC$10012,54,0)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2"/>
        <v>105000</v>
      </c>
      <c r="K6204" t="e">
        <f>VLOOKUP(B6204,'REGISTRO ABONOS'!$B$8:$BC$10012,54,0)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2"/>
        <v>105000</v>
      </c>
      <c r="K6205" t="e">
        <f>VLOOKUP(B6205,'REGISTRO ABONOS'!$B$8:$BC$10012,54,0)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2"/>
        <v>105000</v>
      </c>
      <c r="K6206" t="e">
        <f>VLOOKUP(B6206,'REGISTRO ABONOS'!$B$8:$BC$10012,54,0)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2"/>
        <v>105000</v>
      </c>
      <c r="K6207" t="e">
        <f>VLOOKUP(B6207,'REGISTRO ABONOS'!$B$8:$BC$10012,54,0)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2"/>
        <v>105000</v>
      </c>
      <c r="K6208" t="e">
        <f>VLOOKUP(B6208,'REGISTRO ABONOS'!$B$8:$BC$10012,54,0)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2"/>
        <v>105000</v>
      </c>
      <c r="K6209" t="e">
        <f>VLOOKUP(B6209,'REGISTRO ABONOS'!$B$8:$BC$10012,54,0)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2"/>
        <v>105000</v>
      </c>
      <c r="K6210" t="e">
        <f>VLOOKUP(B6210,'REGISTRO ABONOS'!$B$8:$BC$10012,54,0)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2"/>
        <v>105000</v>
      </c>
      <c r="K6211" t="e">
        <f>VLOOKUP(B6211,'REGISTRO ABONOS'!$B$8:$BC$10012,54,0)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2"/>
        <v>105000</v>
      </c>
      <c r="K6212" t="e">
        <f>VLOOKUP(B6212,'REGISTRO ABONOS'!$B$8:$BC$10012,54,0)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2"/>
        <v>105000</v>
      </c>
      <c r="K6213" t="e">
        <f>VLOOKUP(B6213,'REGISTRO ABONOS'!$B$8:$BC$10012,54,0)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2"/>
        <v>105000</v>
      </c>
      <c r="K6214" t="e">
        <f>VLOOKUP(B6214,'REGISTRO ABONOS'!$B$8:$BC$10012,54,0)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2"/>
        <v>105000</v>
      </c>
      <c r="K6215" t="e">
        <f>VLOOKUP(B6215,'REGISTRO ABONOS'!$B$8:$BC$10012,54,0)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2"/>
        <v>105000</v>
      </c>
      <c r="K6216" t="e">
        <f>VLOOKUP(B6216,'REGISTRO ABONOS'!$B$8:$BC$10012,54,0)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2"/>
        <v>105000</v>
      </c>
      <c r="K6217" t="e">
        <f>VLOOKUP(B6217,'REGISTRO ABONOS'!$B$8:$BC$10012,54,0)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2"/>
        <v>105000</v>
      </c>
      <c r="K6218" t="e">
        <f>VLOOKUP(B6218,'REGISTRO ABONOS'!$B$8:$BC$10012,54,0)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2"/>
        <v>105000</v>
      </c>
      <c r="K6219" t="e">
        <f>VLOOKUP(B6219,'REGISTRO ABONOS'!$B$8:$BC$10012,54,0)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2"/>
        <v>105000</v>
      </c>
      <c r="K6220" t="e">
        <f>VLOOKUP(B6220,'REGISTRO ABONOS'!$B$8:$BC$10012,54,0)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2"/>
        <v>105000</v>
      </c>
      <c r="K6221" t="e">
        <f>VLOOKUP(B6221,'REGISTRO ABONOS'!$B$8:$BC$10012,54,0)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2"/>
        <v>105000</v>
      </c>
      <c r="K6222" t="e">
        <f>VLOOKUP(B6222,'REGISTRO ABONOS'!$B$8:$BC$10012,54,0)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2"/>
        <v>105000</v>
      </c>
      <c r="K6223" t="e">
        <f>VLOOKUP(B6223,'REGISTRO ABONOS'!$B$8:$BC$10012,54,0)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2"/>
        <v>105000</v>
      </c>
      <c r="K6224" t="e">
        <f>VLOOKUP(B6224,'REGISTRO ABONOS'!$B$8:$BC$10012,54,0)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2"/>
        <v>105000</v>
      </c>
      <c r="K6225" t="e">
        <f>VLOOKUP(B6225,'REGISTRO ABONOS'!$B$8:$BC$10012,54,0)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2"/>
        <v>105000</v>
      </c>
      <c r="K6226" t="e">
        <f>VLOOKUP(B6226,'REGISTRO ABONOS'!$B$8:$BC$10012,54,0)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2"/>
        <v>105000</v>
      </c>
      <c r="K6227" t="e">
        <f>VLOOKUP(B6227,'REGISTRO ABONOS'!$B$8:$BC$10012,54,0)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2"/>
        <v>105000</v>
      </c>
      <c r="K6228" t="e">
        <f>VLOOKUP(B6228,'REGISTRO ABONOS'!$B$8:$BC$10012,54,0)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2"/>
        <v>105000</v>
      </c>
      <c r="K6229" t="e">
        <f>VLOOKUP(B6229,'REGISTRO ABONOS'!$B$8:$BC$10012,54,0)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2"/>
        <v>105000</v>
      </c>
      <c r="K6230" t="e">
        <f>VLOOKUP(B6230,'REGISTRO ABONOS'!$B$8:$BC$10012,54,0)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2"/>
        <v>105000</v>
      </c>
      <c r="K6231" t="e">
        <f>VLOOKUP(B6231,'REGISTRO ABONOS'!$B$8:$BC$10012,54,0)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2"/>
        <v>105000</v>
      </c>
      <c r="K6232" t="e">
        <f>VLOOKUP(B6232,'REGISTRO ABONOS'!$B$8:$BC$10012,54,0)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2"/>
        <v>105000</v>
      </c>
      <c r="K6233" t="e">
        <f>VLOOKUP(B6233,'REGISTRO ABONOS'!$B$8:$BC$10012,54,0)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2"/>
        <v>105000</v>
      </c>
      <c r="K6234" t="e">
        <f>VLOOKUP(B6234,'REGISTRO ABONOS'!$B$8:$BC$10012,54,0)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2"/>
        <v>105000</v>
      </c>
      <c r="K6235" t="e">
        <f>VLOOKUP(B6235,'REGISTRO ABONOS'!$B$8:$BC$10012,54,0)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2"/>
        <v>105000</v>
      </c>
      <c r="K6236" t="e">
        <f>VLOOKUP(B6236,'REGISTRO ABONOS'!$B$8:$BC$10012,54,0)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2"/>
        <v>105000</v>
      </c>
      <c r="K6237" t="e">
        <f>VLOOKUP(B6237,'REGISTRO ABONOS'!$B$8:$BC$10012,54,0)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2"/>
        <v>105000</v>
      </c>
      <c r="K6238" t="e">
        <f>VLOOKUP(B6238,'REGISTRO ABONOS'!$B$8:$BC$10012,54,0)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2"/>
        <v>105000</v>
      </c>
      <c r="K6239" t="e">
        <f>VLOOKUP(B6239,'REGISTRO ABONOS'!$B$8:$BC$10012,54,0)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2"/>
        <v>105000</v>
      </c>
      <c r="K6240" t="e">
        <f>VLOOKUP(B6240,'REGISTRO ABONOS'!$B$8:$BC$10012,54,0)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2"/>
        <v>105000</v>
      </c>
      <c r="K6241" t="e">
        <f>VLOOKUP(B6241,'REGISTRO ABONOS'!$B$8:$BC$10012,54,0)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2"/>
        <v>105000</v>
      </c>
      <c r="K6242" t="e">
        <f>VLOOKUP(B6242,'REGISTRO ABONOS'!$B$8:$BC$10012,54,0)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2"/>
        <v>105000</v>
      </c>
      <c r="K6243" t="e">
        <f>VLOOKUP(B6243,'REGISTRO ABONOS'!$B$8:$BC$10012,54,0)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2"/>
        <v>105000</v>
      </c>
      <c r="K6244" t="e">
        <f>VLOOKUP(B6244,'REGISTRO ABONOS'!$B$8:$BC$10012,54,0)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2"/>
        <v>105000</v>
      </c>
      <c r="K6245" t="e">
        <f>VLOOKUP(B6245,'REGISTRO ABONOS'!$B$8:$BC$10012,54,0)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2"/>
        <v>105000</v>
      </c>
      <c r="K6246" t="e">
        <f>VLOOKUP(B6246,'REGISTRO ABONOS'!$B$8:$BC$10012,54,0)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2"/>
        <v>105000</v>
      </c>
      <c r="K6247" t="e">
        <f>VLOOKUP(B6247,'REGISTRO ABONOS'!$B$8:$BC$10012,54,0)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2"/>
        <v>105000</v>
      </c>
      <c r="K6248" t="e">
        <f>VLOOKUP(B6248,'REGISTRO ABONOS'!$B$8:$BC$10012,54,0)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2"/>
        <v>105000</v>
      </c>
      <c r="K6249" t="e">
        <f>VLOOKUP(B6249,'REGISTRO ABONOS'!$B$8:$BC$10012,54,0)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2"/>
        <v>105000</v>
      </c>
      <c r="K6250" t="e">
        <f>VLOOKUP(B6250,'REGISTRO ABONOS'!$B$8:$BC$10012,54,0)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2"/>
        <v>105000</v>
      </c>
      <c r="K6251" t="e">
        <f>VLOOKUP(B6251,'REGISTRO ABONOS'!$B$8:$BC$10012,54,0)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2"/>
        <v>105000</v>
      </c>
      <c r="K6252" t="e">
        <f>VLOOKUP(B6252,'REGISTRO ABONOS'!$B$8:$BC$10012,54,0)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2"/>
        <v>105000</v>
      </c>
      <c r="K6253" t="e">
        <f>VLOOKUP(B6253,'REGISTRO ABONOS'!$B$8:$BC$10012,54,0)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2"/>
        <v>105000</v>
      </c>
      <c r="K6254" t="e">
        <f>VLOOKUP(B6254,'REGISTRO ABONOS'!$B$8:$BC$10012,54,0)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2"/>
        <v>105000</v>
      </c>
      <c r="K6255" t="e">
        <f>VLOOKUP(B6255,'REGISTRO ABONOS'!$B$8:$BC$10012,54,0)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2"/>
        <v>105000</v>
      </c>
      <c r="K6256" t="e">
        <f>VLOOKUP(B6256,'REGISTRO ABONOS'!$B$8:$BC$10012,54,0)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2"/>
        <v>105000</v>
      </c>
      <c r="K6257" t="e">
        <f>VLOOKUP(B6257,'REGISTRO ABONOS'!$B$8:$BC$10012,54,0)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J6258">
        <f t="shared" si="102"/>
        <v>105000</v>
      </c>
      <c r="K6258" t="e">
        <f>VLOOKUP(B6258,'REGISTRO ABONOS'!$B$8:$BC$10012,54,0)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2"/>
        <v>105000</v>
      </c>
      <c r="K6259" t="e">
        <f>VLOOKUP(B6259,'REGISTRO ABONOS'!$B$8:$BC$10012,54,0)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2"/>
        <v>105000</v>
      </c>
      <c r="K6260" t="e">
        <f>VLOOKUP(B6260,'REGISTRO ABONOS'!$B$8:$BC$10012,54,0)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2"/>
        <v>105000</v>
      </c>
      <c r="K6261" t="e">
        <f>VLOOKUP(B6261,'REGISTRO ABONOS'!$B$8:$BC$10012,54,0)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ABONOS'!$B$8:$BC$10012,54,0)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3"/>
        <v>105000</v>
      </c>
      <c r="K6263" t="e">
        <f>VLOOKUP(B6263,'REGISTRO ABONOS'!$B$8:$BC$10012,54,0)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3"/>
        <v>105000</v>
      </c>
      <c r="K6264" t="e">
        <f>VLOOKUP(B6264,'REGISTRO ABONOS'!$B$8:$BC$10012,54,0)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3"/>
        <v>105000</v>
      </c>
      <c r="K6265" t="e">
        <f>VLOOKUP(B6265,'REGISTRO ABONOS'!$B$8:$BC$10012,54,0)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3"/>
        <v>105000</v>
      </c>
      <c r="K6266" t="e">
        <f>VLOOKUP(B6266,'REGISTRO ABONOS'!$B$8:$BC$10012,54,0)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3"/>
        <v>105000</v>
      </c>
      <c r="K6267" t="e">
        <f>VLOOKUP(B6267,'REGISTRO ABONOS'!$B$8:$BC$10012,54,0)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3"/>
        <v>105000</v>
      </c>
      <c r="K6268" t="e">
        <f>VLOOKUP(B6268,'REGISTRO ABONOS'!$B$8:$BC$10012,54,0)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3"/>
        <v>105000</v>
      </c>
      <c r="K6269" t="e">
        <f>VLOOKUP(B6269,'REGISTRO ABONOS'!$B$8:$BC$10012,54,0)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3"/>
        <v>105000</v>
      </c>
      <c r="K6270" t="e">
        <f>VLOOKUP(B6270,'REGISTRO ABONOS'!$B$8:$BC$10012,54,0)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J6271">
        <f t="shared" si="103"/>
        <v>105000</v>
      </c>
      <c r="K6271" t="e">
        <f>VLOOKUP(B6271,'REGISTRO ABONOS'!$B$8:$BC$10012,54,0)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3"/>
        <v>105000</v>
      </c>
      <c r="K6272" t="e">
        <f>VLOOKUP(B6272,'REGISTRO ABONOS'!$B$8:$BC$10012,54,0)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3"/>
        <v>105000</v>
      </c>
      <c r="K6273" t="e">
        <f>VLOOKUP(B6273,'REGISTRO ABONOS'!$B$8:$BC$10012,54,0)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3"/>
        <v>105000</v>
      </c>
      <c r="K6274" t="e">
        <f>VLOOKUP(B6274,'REGISTRO ABONOS'!$B$8:$BC$10012,54,0)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3"/>
        <v>105000</v>
      </c>
      <c r="K6275" t="e">
        <f>VLOOKUP(B6275,'REGISTRO ABONOS'!$B$8:$BC$10012,54,0)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3"/>
        <v>105000</v>
      </c>
      <c r="K6276" t="e">
        <f>VLOOKUP(B6276,'REGISTRO ABONOS'!$B$8:$BC$10012,54,0)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3"/>
        <v>105000</v>
      </c>
      <c r="K6277" t="e">
        <f>VLOOKUP(B6277,'REGISTRO ABONOS'!$B$8:$BC$10012,54,0)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3"/>
        <v>105000</v>
      </c>
      <c r="K6278" t="e">
        <f>VLOOKUP(B6278,'REGISTRO ABONOS'!$B$8:$BC$10012,54,0)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3"/>
        <v>105000</v>
      </c>
      <c r="K6279" t="e">
        <f>VLOOKUP(B6279,'REGISTRO ABONOS'!$B$8:$BC$10012,54,0)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3"/>
        <v>105000</v>
      </c>
      <c r="K6280" t="e">
        <f>VLOOKUP(B6280,'REGISTRO ABONOS'!$B$8:$BC$10012,54,0)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3"/>
        <v>105000</v>
      </c>
      <c r="K6281" t="e">
        <f>VLOOKUP(B6281,'REGISTRO ABONOS'!$B$8:$BC$10012,54,0)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3"/>
        <v>105000</v>
      </c>
      <c r="K6282" t="e">
        <f>VLOOKUP(B6282,'REGISTRO ABONOS'!$B$8:$BC$10012,54,0)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J6283">
        <f t="shared" si="103"/>
        <v>105000</v>
      </c>
      <c r="K6283" t="e">
        <f>VLOOKUP(B6283,'REGISTRO ABONOS'!$B$8:$BC$10012,54,0)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3"/>
        <v>105000</v>
      </c>
      <c r="K6284" t="e">
        <f>VLOOKUP(B6284,'REGISTRO ABONOS'!$B$8:$BC$10012,54,0)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3"/>
        <v>105000</v>
      </c>
      <c r="K6285" t="e">
        <f>VLOOKUP(B6285,'REGISTRO ABONOS'!$B$8:$BC$10012,54,0)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3"/>
        <v>105000</v>
      </c>
      <c r="K6286" t="e">
        <f>VLOOKUP(B6286,'REGISTRO ABONOS'!$B$8:$BC$10012,54,0)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3"/>
        <v>105000</v>
      </c>
      <c r="K6287" t="e">
        <f>VLOOKUP(B6287,'REGISTRO ABONOS'!$B$8:$BC$10012,54,0)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3"/>
        <v>105000</v>
      </c>
      <c r="K6288" t="e">
        <f>VLOOKUP(B6288,'REGISTRO ABONOS'!$B$8:$BC$10012,54,0)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3"/>
        <v>105000</v>
      </c>
      <c r="K6289" t="e">
        <f>VLOOKUP(B6289,'REGISTRO ABONOS'!$B$8:$BC$10012,54,0)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3"/>
        <v>105000</v>
      </c>
      <c r="K6290" t="e">
        <f>VLOOKUP(B6290,'REGISTRO ABONOS'!$B$8:$BC$10012,54,0)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3"/>
        <v>105000</v>
      </c>
      <c r="K6291" t="e">
        <f>VLOOKUP(B6291,'REGISTRO ABONOS'!$B$8:$BC$10012,54,0)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3"/>
        <v>105000</v>
      </c>
      <c r="K6292" t="e">
        <f>VLOOKUP(B6292,'REGISTRO ABONOS'!$B$8:$BC$10012,54,0)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3"/>
        <v>105000</v>
      </c>
      <c r="K6293" t="e">
        <f>VLOOKUP(B6293,'REGISTRO ABONOS'!$B$8:$BC$10012,54,0)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3"/>
        <v>105000</v>
      </c>
      <c r="K6294" t="e">
        <f>VLOOKUP(B6294,'REGISTRO ABONOS'!$B$8:$BC$10012,54,0)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3"/>
        <v>105000</v>
      </c>
      <c r="K6295" t="e">
        <f>VLOOKUP(B6295,'REGISTRO ABONOS'!$B$8:$BC$10012,54,0)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3"/>
        <v>105000</v>
      </c>
      <c r="K6296" t="e">
        <f>VLOOKUP(B6296,'REGISTRO ABONOS'!$B$8:$BC$10012,54,0)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3"/>
        <v>105000</v>
      </c>
      <c r="K6297" t="e">
        <f>VLOOKUP(B6297,'REGISTRO ABONOS'!$B$8:$BC$10012,54,0)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3"/>
        <v>105000</v>
      </c>
      <c r="K6298" t="e">
        <f>VLOOKUP(B6298,'REGISTRO ABONOS'!$B$8:$BC$10012,54,0)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3"/>
        <v>105000</v>
      </c>
      <c r="K6299" t="e">
        <f>VLOOKUP(B6299,'REGISTRO ABONOS'!$B$8:$BC$10012,54,0)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3"/>
        <v>105000</v>
      </c>
      <c r="K6300" t="e">
        <f>VLOOKUP(B6300,'REGISTRO ABONOS'!$B$8:$BC$10012,54,0)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3"/>
        <v>105000</v>
      </c>
      <c r="K6301" t="e">
        <f>VLOOKUP(B6301,'REGISTRO ABONOS'!$B$8:$BC$10012,54,0)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3"/>
        <v>105000</v>
      </c>
      <c r="K6302" t="e">
        <f>VLOOKUP(B6302,'REGISTRO ABONOS'!$B$8:$BC$10012,54,0)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3"/>
        <v>105000</v>
      </c>
      <c r="K6303" t="e">
        <f>VLOOKUP(B6303,'REGISTRO ABONOS'!$B$8:$BC$10012,54,0)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3"/>
        <v>105000</v>
      </c>
      <c r="K6304" t="e">
        <f>VLOOKUP(B6304,'REGISTRO ABONOS'!$B$8:$BC$10012,54,0)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3"/>
        <v>105000</v>
      </c>
      <c r="K6305" t="e">
        <f>VLOOKUP(B6305,'REGISTRO ABONOS'!$B$8:$BC$10012,54,0)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3"/>
        <v>105000</v>
      </c>
      <c r="K6306" t="e">
        <f>VLOOKUP(B6306,'REGISTRO ABONOS'!$B$8:$BC$10012,54,0)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3"/>
        <v>105000</v>
      </c>
      <c r="K6307" t="e">
        <f>VLOOKUP(B6307,'REGISTRO ABONOS'!$B$8:$BC$10012,54,0)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3"/>
        <v>105000</v>
      </c>
      <c r="K6308" t="e">
        <f>VLOOKUP(B6308,'REGISTRO ABONOS'!$B$8:$BC$10012,54,0)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3"/>
        <v>105000</v>
      </c>
      <c r="K6309" t="e">
        <f>VLOOKUP(B6309,'REGISTRO ABONOS'!$B$8:$BC$10012,54,0)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3"/>
        <v>105000</v>
      </c>
      <c r="K6310" t="e">
        <f>VLOOKUP(B6310,'REGISTRO ABONOS'!$B$8:$BC$10012,54,0)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3"/>
        <v>105000</v>
      </c>
      <c r="K6311" t="e">
        <f>VLOOKUP(B6311,'REGISTRO ABONOS'!$B$8:$BC$10012,54,0)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3"/>
        <v>105000</v>
      </c>
      <c r="K6312" t="e">
        <f>VLOOKUP(B6312,'REGISTRO ABONOS'!$B$8:$BC$10012,54,0)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3"/>
        <v>105000</v>
      </c>
      <c r="K6313" t="e">
        <f>VLOOKUP(B6313,'REGISTRO ABONOS'!$B$8:$BC$10012,54,0)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3"/>
        <v>105000</v>
      </c>
      <c r="K6314" t="e">
        <f>VLOOKUP(B6314,'REGISTRO ABONOS'!$B$8:$BC$10012,54,0)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3"/>
        <v>105000</v>
      </c>
      <c r="K6315" t="e">
        <f>VLOOKUP(B6315,'REGISTRO ABONOS'!$B$8:$BC$10012,54,0)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3"/>
        <v>105000</v>
      </c>
      <c r="K6316" t="e">
        <f>VLOOKUP(B6316,'REGISTRO ABONOS'!$B$8:$BC$10012,54,0)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3"/>
        <v>105000</v>
      </c>
      <c r="K6317" t="e">
        <f>VLOOKUP(B6317,'REGISTRO ABONOS'!$B$8:$BC$10012,54,0)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3"/>
        <v>105000</v>
      </c>
      <c r="K6318" t="e">
        <f>VLOOKUP(B6318,'REGISTRO ABONOS'!$B$8:$BC$10012,54,0)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3"/>
        <v>105000</v>
      </c>
      <c r="K6319" t="e">
        <f>VLOOKUP(B6319,'REGISTRO ABONOS'!$B$8:$BC$10012,54,0)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ABONOS'!$B$8:$BC$10012,54,0)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4"/>
        <v>105000</v>
      </c>
      <c r="K6321" t="e">
        <f>VLOOKUP(B6321,'REGISTRO ABONOS'!$B$8:$BC$10012,54,0)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4"/>
        <v>105000</v>
      </c>
      <c r="K6322" t="e">
        <f>VLOOKUP(B6322,'REGISTRO ABONOS'!$B$8:$BC$10012,54,0)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4"/>
        <v>105000</v>
      </c>
      <c r="K6323" t="e">
        <f>VLOOKUP(B6323,'REGISTRO ABONOS'!$B$8:$BC$10012,54,0)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4"/>
        <v>105000</v>
      </c>
      <c r="K6324" t="e">
        <f>VLOOKUP(B6324,'REGISTRO ABONOS'!$B$8:$BC$10012,54,0)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4"/>
        <v>105000</v>
      </c>
      <c r="K6325" t="e">
        <f>VLOOKUP(B6325,'REGISTRO ABONOS'!$B$8:$BC$10012,54,0)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4"/>
        <v>105000</v>
      </c>
      <c r="K6326" t="e">
        <f>VLOOKUP(B6326,'REGISTRO ABONOS'!$B$8:$BC$10012,54,0)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4"/>
        <v>105000</v>
      </c>
      <c r="K6327" t="e">
        <f>VLOOKUP(B6327,'REGISTRO ABONOS'!$B$8:$BC$10012,54,0)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4"/>
        <v>105000</v>
      </c>
      <c r="K6328" t="e">
        <f>VLOOKUP(B6328,'REGISTRO ABONOS'!$B$8:$BC$10012,54,0)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4"/>
        <v>105000</v>
      </c>
      <c r="K6329" t="e">
        <f>VLOOKUP(B6329,'REGISTRO ABONOS'!$B$8:$BC$10012,54,0)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4"/>
        <v>105000</v>
      </c>
      <c r="K6330" t="e">
        <f>VLOOKUP(B6330,'REGISTRO ABONOS'!$B$8:$BC$10012,54,0)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4"/>
        <v>105000</v>
      </c>
      <c r="K6331" t="e">
        <f>VLOOKUP(B6331,'REGISTRO ABONOS'!$B$8:$BC$10012,54,0)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4"/>
        <v>105000</v>
      </c>
      <c r="K6332" t="e">
        <f>VLOOKUP(B6332,'REGISTRO ABONOS'!$B$8:$BC$10012,54,0)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4"/>
        <v>105000</v>
      </c>
      <c r="K6333" t="e">
        <f>VLOOKUP(B6333,'REGISTRO ABONOS'!$B$8:$BC$10012,54,0)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4"/>
        <v>105000</v>
      </c>
      <c r="K6334" t="e">
        <f>VLOOKUP(B6334,'REGISTRO ABONOS'!$B$8:$BC$10012,54,0)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4"/>
        <v>105000</v>
      </c>
      <c r="K6335" t="e">
        <f>VLOOKUP(B6335,'REGISTRO ABONOS'!$B$8:$BC$10012,54,0)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4"/>
        <v>105000</v>
      </c>
      <c r="K6336" t="e">
        <f>VLOOKUP(B6336,'REGISTRO ABONOS'!$B$8:$BC$10012,54,0)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4"/>
        <v>105000</v>
      </c>
      <c r="K6337" t="e">
        <f>VLOOKUP(B6337,'REGISTRO ABONOS'!$B$8:$BC$10012,54,0)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4"/>
        <v>105000</v>
      </c>
      <c r="K6338" t="e">
        <f>VLOOKUP(B6338,'REGISTRO ABONOS'!$B$8:$BC$10012,54,0)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4"/>
        <v>105000</v>
      </c>
      <c r="K6339" t="e">
        <f>VLOOKUP(B6339,'REGISTRO ABONOS'!$B$8:$BC$10012,54,0)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4"/>
        <v>105000</v>
      </c>
      <c r="K6340" t="e">
        <f>VLOOKUP(B6340,'REGISTRO ABONOS'!$B$8:$BC$10012,54,0)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4"/>
        <v>105000</v>
      </c>
      <c r="K6341" t="e">
        <f>VLOOKUP(B6341,'REGISTRO ABONOS'!$B$8:$BC$10012,54,0)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4"/>
        <v>105000</v>
      </c>
      <c r="K6342" t="e">
        <f>VLOOKUP(B6342,'REGISTRO ABONOS'!$B$8:$BC$10012,54,0)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4"/>
        <v>105000</v>
      </c>
      <c r="K6343" t="e">
        <f>VLOOKUP(B6343,'REGISTRO ABONOS'!$B$8:$BC$10012,54,0)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4"/>
        <v>105000</v>
      </c>
      <c r="K6344" t="e">
        <f>VLOOKUP(B6344,'REGISTRO ABONOS'!$B$8:$BC$10012,54,0)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4"/>
        <v>105000</v>
      </c>
      <c r="K6345" t="e">
        <f>VLOOKUP(B6345,'REGISTRO ABONOS'!$B$8:$BC$10012,54,0)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4"/>
        <v>105000</v>
      </c>
      <c r="K6346" t="e">
        <f>VLOOKUP(B6346,'REGISTRO ABONOS'!$B$8:$BC$10012,54,0)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4"/>
        <v>105000</v>
      </c>
      <c r="K6347" t="e">
        <f>VLOOKUP(B6347,'REGISTRO ABONOS'!$B$8:$BC$10012,54,0)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4"/>
        <v>105000</v>
      </c>
      <c r="K6348" t="e">
        <f>VLOOKUP(B6348,'REGISTRO ABONOS'!$B$8:$BC$10012,54,0)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4"/>
        <v>105000</v>
      </c>
      <c r="K6349" t="e">
        <f>VLOOKUP(B6349,'REGISTRO ABONOS'!$B$8:$BC$10012,54,0)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4"/>
        <v>105000</v>
      </c>
      <c r="K6350" t="e">
        <f>VLOOKUP(B6350,'REGISTRO ABONOS'!$B$8:$BC$10012,54,0)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4"/>
        <v>105000</v>
      </c>
      <c r="K6351" t="e">
        <f>VLOOKUP(B6351,'REGISTRO ABONOS'!$B$8:$BC$10012,54,0)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4"/>
        <v>105000</v>
      </c>
      <c r="K6352" t="e">
        <f>VLOOKUP(B6352,'REGISTRO ABONOS'!$B$8:$BC$10012,54,0)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4"/>
        <v>105000</v>
      </c>
      <c r="K6353" t="e">
        <f>VLOOKUP(B6353,'REGISTRO ABONOS'!$B$8:$BC$10012,54,0)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4"/>
        <v>105000</v>
      </c>
      <c r="K6354" t="e">
        <f>VLOOKUP(B6354,'REGISTRO ABONOS'!$B$8:$BC$10012,54,0)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4"/>
        <v>105000</v>
      </c>
      <c r="K6355" t="e">
        <f>VLOOKUP(B6355,'REGISTRO ABONOS'!$B$8:$BC$10012,54,0)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4"/>
        <v>105000</v>
      </c>
      <c r="K6356" t="e">
        <f>VLOOKUP(B6356,'REGISTRO ABONOS'!$B$8:$BC$10012,54,0)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4"/>
        <v>105000</v>
      </c>
      <c r="K6357" t="e">
        <f>VLOOKUP(B6357,'REGISTRO ABONOS'!$B$8:$BC$10012,54,0)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4"/>
        <v>105000</v>
      </c>
      <c r="K6358" t="e">
        <f>VLOOKUP(B6358,'REGISTRO ABONOS'!$B$8:$BC$10012,54,0)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4"/>
        <v>105000</v>
      </c>
      <c r="K6359" t="e">
        <f>VLOOKUP(B6359,'REGISTRO ABONOS'!$B$8:$BC$10012,54,0)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4"/>
        <v>105000</v>
      </c>
      <c r="K6360" t="e">
        <f>VLOOKUP(B6360,'REGISTRO ABONOS'!$B$8:$BC$10012,54,0)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4"/>
        <v>105000</v>
      </c>
      <c r="K6361" t="e">
        <f>VLOOKUP(B6361,'REGISTRO ABONOS'!$B$8:$BC$10012,54,0)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4"/>
        <v>105000</v>
      </c>
      <c r="K6362" t="e">
        <f>VLOOKUP(B6362,'REGISTRO ABONOS'!$B$8:$BC$10012,54,0)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4"/>
        <v>105000</v>
      </c>
      <c r="K6363" t="e">
        <f>VLOOKUP(B6363,'REGISTRO ABONOS'!$B$8:$BC$10012,54,0)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4"/>
        <v>105000</v>
      </c>
      <c r="K6364" t="e">
        <f>VLOOKUP(B6364,'REGISTRO ABONOS'!$B$8:$BC$10012,54,0)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4"/>
        <v>105000</v>
      </c>
      <c r="K6365" t="e">
        <f>VLOOKUP(B6365,'REGISTRO ABONOS'!$B$8:$BC$10012,54,0)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4"/>
        <v>105000</v>
      </c>
      <c r="K6366" t="e">
        <f>VLOOKUP(B6366,'REGISTRO ABONOS'!$B$8:$BC$10012,54,0)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4"/>
        <v>105000</v>
      </c>
      <c r="K6367" t="e">
        <f>VLOOKUP(B6367,'REGISTRO ABONOS'!$B$8:$BC$10012,54,0)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4"/>
        <v>105000</v>
      </c>
      <c r="K6368" t="e">
        <f>VLOOKUP(B6368,'REGISTRO ABONOS'!$B$8:$BC$10012,54,0)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4"/>
        <v>105000</v>
      </c>
      <c r="K6369" t="e">
        <f>VLOOKUP(B6369,'REGISTRO ABONOS'!$B$8:$BC$10012,54,0)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4"/>
        <v>105000</v>
      </c>
      <c r="K6370" t="e">
        <f>VLOOKUP(B6370,'REGISTRO ABONOS'!$B$8:$BC$10012,54,0)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4"/>
        <v>105000</v>
      </c>
      <c r="K6371" t="e">
        <f>VLOOKUP(B6371,'REGISTRO ABONOS'!$B$8:$BC$10012,54,0)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4"/>
        <v>105000</v>
      </c>
      <c r="K6372" t="e">
        <f>VLOOKUP(B6372,'REGISTRO ABONOS'!$B$8:$BC$10012,54,0)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4"/>
        <v>105000</v>
      </c>
      <c r="K6373" t="e">
        <f>VLOOKUP(B6373,'REGISTRO ABONOS'!$B$8:$BC$10012,54,0)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4"/>
        <v>105000</v>
      </c>
      <c r="K6374" t="e">
        <f>VLOOKUP(B6374,'REGISTRO ABONOS'!$B$8:$BC$10012,54,0)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4"/>
        <v>105000</v>
      </c>
      <c r="K6375" t="e">
        <f>VLOOKUP(B6375,'REGISTRO ABONOS'!$B$8:$BC$10012,54,0)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4"/>
        <v>105000</v>
      </c>
      <c r="K6376" t="e">
        <f>VLOOKUP(B6376,'REGISTRO ABONOS'!$B$8:$BC$10012,54,0)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4"/>
        <v>105000</v>
      </c>
      <c r="K6377" t="e">
        <f>VLOOKUP(B6377,'REGISTRO ABONOS'!$B$8:$BC$10012,54,0)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4"/>
        <v>105000</v>
      </c>
      <c r="K6378" t="e">
        <f>VLOOKUP(B6378,'REGISTRO ABONOS'!$B$8:$BC$10012,54,0)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4"/>
        <v>105000</v>
      </c>
      <c r="K6379" t="e">
        <f>VLOOKUP(B6379,'REGISTRO ABONOS'!$B$8:$BC$10012,54,0)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4"/>
        <v>105000</v>
      </c>
      <c r="K6380" t="e">
        <f>VLOOKUP(B6380,'REGISTRO ABONOS'!$B$8:$BC$10012,54,0)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4"/>
        <v>105000</v>
      </c>
      <c r="K6381" t="e">
        <f>VLOOKUP(B6381,'REGISTRO ABONOS'!$B$8:$BC$10012,54,0)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4"/>
        <v>105000</v>
      </c>
      <c r="K6382" t="e">
        <f>VLOOKUP(B6382,'REGISTRO ABONOS'!$B$8:$BC$10012,54,0)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4"/>
        <v>105000</v>
      </c>
      <c r="K6383" t="e">
        <f>VLOOKUP(B6383,'REGISTRO ABONOS'!$B$8:$BC$10012,54,0)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ABONOS'!$B$8:$BC$10012,54,0)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5"/>
        <v>105000</v>
      </c>
      <c r="K6385" t="e">
        <f>VLOOKUP(B6385,'REGISTRO ABONOS'!$B$8:$BC$10012,54,0)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5"/>
        <v>105000</v>
      </c>
      <c r="K6386" t="e">
        <f>VLOOKUP(B6386,'REGISTRO ABONOS'!$B$8:$BC$10012,54,0)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5"/>
        <v>105000</v>
      </c>
      <c r="K6387" t="e">
        <f>VLOOKUP(B6387,'REGISTRO ABONOS'!$B$8:$BC$10012,54,0)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5"/>
        <v>105000</v>
      </c>
      <c r="K6388" t="e">
        <f>VLOOKUP(B6388,'REGISTRO ABONOS'!$B$8:$BC$10012,54,0)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5"/>
        <v>105000</v>
      </c>
      <c r="K6389" t="e">
        <f>VLOOKUP(B6389,'REGISTRO ABONOS'!$B$8:$BC$10012,54,0)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5"/>
        <v>105000</v>
      </c>
      <c r="K6390" t="e">
        <f>VLOOKUP(B6390,'REGISTRO ABONOS'!$B$8:$BC$10012,54,0)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5"/>
        <v>105000</v>
      </c>
      <c r="K6391" t="e">
        <f>VLOOKUP(B6391,'REGISTRO ABONOS'!$B$8:$BC$10012,54,0)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5"/>
        <v>105000</v>
      </c>
      <c r="K6392" t="e">
        <f>VLOOKUP(B6392,'REGISTRO ABONOS'!$B$8:$BC$10012,54,0)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5"/>
        <v>105000</v>
      </c>
      <c r="K6393" t="e">
        <f>VLOOKUP(B6393,'REGISTRO ABONOS'!$B$8:$BC$10012,54,0)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5"/>
        <v>105000</v>
      </c>
      <c r="K6394" t="e">
        <f>VLOOKUP(B6394,'REGISTRO ABONOS'!$B$8:$BC$10012,54,0)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5"/>
        <v>105000</v>
      </c>
      <c r="K6395" t="e">
        <f>VLOOKUP(B6395,'REGISTRO ABONOS'!$B$8:$BC$10012,54,0)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5"/>
        <v>105000</v>
      </c>
      <c r="K6396" t="e">
        <f>VLOOKUP(B6396,'REGISTRO ABONOS'!$B$8:$BC$10012,54,0)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5"/>
        <v>105000</v>
      </c>
      <c r="K6397" t="e">
        <f>VLOOKUP(B6397,'REGISTRO ABONOS'!$B$8:$BC$10012,54,0)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5"/>
        <v>105000</v>
      </c>
      <c r="K6398" t="e">
        <f>VLOOKUP(B6398,'REGISTRO ABONOS'!$B$8:$BC$10012,54,0)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5"/>
        <v>105000</v>
      </c>
      <c r="K6399" t="e">
        <f>VLOOKUP(B6399,'REGISTRO ABONOS'!$B$8:$BC$10012,54,0)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5"/>
        <v>105000</v>
      </c>
      <c r="K6400" t="e">
        <f>VLOOKUP(B6400,'REGISTRO ABONOS'!$B$8:$BC$10012,54,0)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5"/>
        <v>105000</v>
      </c>
      <c r="K6401" t="e">
        <f>VLOOKUP(B6401,'REGISTRO ABONOS'!$B$8:$BC$10012,54,0)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5"/>
        <v>105000</v>
      </c>
      <c r="K6402" t="e">
        <f>VLOOKUP(B6402,'REGISTRO ABONOS'!$B$8:$BC$10012,54,0)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5"/>
        <v>105000</v>
      </c>
      <c r="K6403" t="e">
        <f>VLOOKUP(B6403,'REGISTRO ABONOS'!$B$8:$BC$10012,54,0)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5"/>
        <v>105000</v>
      </c>
      <c r="K6404" t="e">
        <f>VLOOKUP(B6404,'REGISTRO ABONOS'!$B$8:$BC$10012,54,0)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5"/>
        <v>105000</v>
      </c>
      <c r="K6405" t="e">
        <f>VLOOKUP(B6405,'REGISTRO ABONOS'!$B$8:$BC$10012,54,0)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5"/>
        <v>105000</v>
      </c>
      <c r="K6406" t="e">
        <f>VLOOKUP(B6406,'REGISTRO ABONOS'!$B$8:$BC$10012,54,0)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5"/>
        <v>105000</v>
      </c>
      <c r="K6407" t="e">
        <f>VLOOKUP(B6407,'REGISTRO ABONOS'!$B$8:$BC$10012,54,0)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5"/>
        <v>105000</v>
      </c>
      <c r="K6408" t="e">
        <f>VLOOKUP(B6408,'REGISTRO ABONOS'!$B$8:$BC$10012,54,0)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5"/>
        <v>105000</v>
      </c>
      <c r="K6409" t="e">
        <f>VLOOKUP(B6409,'REGISTRO ABONOS'!$B$8:$BC$10012,54,0)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5"/>
        <v>105000</v>
      </c>
      <c r="K6410" t="e">
        <f>VLOOKUP(B6410,'REGISTRO ABONOS'!$B$8:$BC$10012,54,0)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5"/>
        <v>105000</v>
      </c>
      <c r="K6411" t="e">
        <f>VLOOKUP(B6411,'REGISTRO ABONOS'!$B$8:$BC$10012,54,0)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5"/>
        <v>105000</v>
      </c>
      <c r="K6412" t="e">
        <f>VLOOKUP(B6412,'REGISTRO ABONOS'!$B$8:$BC$10012,54,0)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5"/>
        <v>105000</v>
      </c>
      <c r="K6413" t="e">
        <f>VLOOKUP(B6413,'REGISTRO ABONOS'!$B$8:$BC$10012,54,0)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5"/>
        <v>105000</v>
      </c>
      <c r="K6414" t="e">
        <f>VLOOKUP(B6414,'REGISTRO ABONOS'!$B$8:$BC$10012,54,0)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5"/>
        <v>105000</v>
      </c>
      <c r="K6415" t="e">
        <f>VLOOKUP(B6415,'REGISTRO ABONOS'!$B$8:$BC$10012,54,0)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5"/>
        <v>105000</v>
      </c>
      <c r="K6416" t="e">
        <f>VLOOKUP(B6416,'REGISTRO ABONOS'!$B$8:$BC$10012,54,0)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5"/>
        <v>105000</v>
      </c>
      <c r="K6417" t="e">
        <f>VLOOKUP(B6417,'REGISTRO ABONOS'!$B$8:$BC$10012,54,0)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5"/>
        <v>105000</v>
      </c>
      <c r="K6418" t="e">
        <f>VLOOKUP(B6418,'REGISTRO ABONOS'!$B$8:$BC$10012,54,0)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5"/>
        <v>105000</v>
      </c>
      <c r="K6419" t="e">
        <f>VLOOKUP(B6419,'REGISTRO ABONOS'!$B$8:$BC$10012,54,0)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5"/>
        <v>105000</v>
      </c>
      <c r="K6420" t="e">
        <f>VLOOKUP(B6420,'REGISTRO ABONOS'!$B$8:$BC$10012,54,0)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5"/>
        <v>105000</v>
      </c>
      <c r="K6421" t="e">
        <f>VLOOKUP(B6421,'REGISTRO ABONOS'!$B$8:$BC$10012,54,0)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5"/>
        <v>105000</v>
      </c>
      <c r="K6422" t="e">
        <f>VLOOKUP(B6422,'REGISTRO ABONOS'!$B$8:$BC$10012,54,0)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5"/>
        <v>105000</v>
      </c>
      <c r="K6423" t="e">
        <f>VLOOKUP(B6423,'REGISTRO ABONOS'!$B$8:$BC$10012,54,0)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5"/>
        <v>105000</v>
      </c>
      <c r="K6424" t="e">
        <f>VLOOKUP(B6424,'REGISTRO ABONOS'!$B$8:$BC$10012,54,0)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5"/>
        <v>105000</v>
      </c>
      <c r="K6425" t="e">
        <f>VLOOKUP(B6425,'REGISTRO ABONOS'!$B$8:$BC$10012,54,0)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5"/>
        <v>105000</v>
      </c>
      <c r="K6426" t="e">
        <f>VLOOKUP(B6426,'REGISTRO ABONOS'!$B$8:$BC$10012,54,0)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5"/>
        <v>105000</v>
      </c>
      <c r="K6427" t="e">
        <f>VLOOKUP(B6427,'REGISTRO ABONOS'!$B$8:$BC$10012,54,0)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5"/>
        <v>105000</v>
      </c>
      <c r="K6428" t="e">
        <f>VLOOKUP(B6428,'REGISTRO ABONOS'!$B$8:$BC$10012,54,0)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5"/>
        <v>105000</v>
      </c>
      <c r="K6429" t="e">
        <f>VLOOKUP(B6429,'REGISTRO ABONOS'!$B$8:$BC$10012,54,0)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5"/>
        <v>105000</v>
      </c>
      <c r="K6430" t="e">
        <f>VLOOKUP(B6430,'REGISTRO ABONOS'!$B$8:$BC$10012,54,0)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5"/>
        <v>105000</v>
      </c>
      <c r="K6431" t="e">
        <f>VLOOKUP(B6431,'REGISTRO ABONOS'!$B$8:$BC$10012,54,0)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5"/>
        <v>105000</v>
      </c>
      <c r="K6432" t="e">
        <f>VLOOKUP(B6432,'REGISTRO ABONOS'!$B$8:$BC$10012,54,0)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5"/>
        <v>105000</v>
      </c>
      <c r="K6433" t="e">
        <f>VLOOKUP(B6433,'REGISTRO ABONOS'!$B$8:$BC$10012,54,0)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5"/>
        <v>105000</v>
      </c>
      <c r="K6434" t="e">
        <f>VLOOKUP(B6434,'REGISTRO ABONOS'!$B$8:$BC$10012,54,0)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5"/>
        <v>105000</v>
      </c>
      <c r="K6435" t="e">
        <f>VLOOKUP(B6435,'REGISTRO ABONOS'!$B$8:$BC$10012,54,0)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5"/>
        <v>105000</v>
      </c>
      <c r="K6436" t="e">
        <f>VLOOKUP(B6436,'REGISTRO ABONOS'!$B$8:$BC$10012,54,0)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5"/>
        <v>105000</v>
      </c>
      <c r="K6437" t="e">
        <f>VLOOKUP(B6437,'REGISTRO ABONOS'!$B$8:$BC$10012,54,0)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5"/>
        <v>105000</v>
      </c>
      <c r="K6438" t="e">
        <f>VLOOKUP(B6438,'REGISTRO ABONOS'!$B$8:$BC$10012,54,0)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5"/>
        <v>105000</v>
      </c>
      <c r="K6439" t="e">
        <f>VLOOKUP(B6439,'REGISTRO ABONOS'!$B$8:$BC$10012,54,0)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5"/>
        <v>105000</v>
      </c>
      <c r="K6440" t="e">
        <f>VLOOKUP(B6440,'REGISTRO ABONOS'!$B$8:$BC$10012,54,0)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5"/>
        <v>105000</v>
      </c>
      <c r="K6441" t="e">
        <f>VLOOKUP(B6441,'REGISTRO ABONOS'!$B$8:$BC$10012,54,0)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5"/>
        <v>105000</v>
      </c>
      <c r="K6442" t="e">
        <f>VLOOKUP(B6442,'REGISTRO ABONOS'!$B$8:$BC$10012,54,0)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5"/>
        <v>105000</v>
      </c>
      <c r="K6443" t="e">
        <f>VLOOKUP(B6443,'REGISTRO ABONOS'!$B$8:$BC$10012,54,0)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5"/>
        <v>105000</v>
      </c>
      <c r="K6444" t="e">
        <f>VLOOKUP(B6444,'REGISTRO ABONOS'!$B$8:$BC$10012,54,0)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5"/>
        <v>105000</v>
      </c>
      <c r="K6445" t="e">
        <f>VLOOKUP(B6445,'REGISTRO ABONOS'!$B$8:$BC$10012,54,0)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5"/>
        <v>105000</v>
      </c>
      <c r="K6446" t="e">
        <f>VLOOKUP(B6446,'REGISTRO ABONOS'!$B$8:$BC$10012,54,0)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5"/>
        <v>105000</v>
      </c>
      <c r="K6447" t="e">
        <f>VLOOKUP(B6447,'REGISTRO ABONOS'!$B$8:$BC$10012,54,0)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ABONOS'!$B$8:$BC$10012,54,0)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6"/>
        <v>105000</v>
      </c>
      <c r="K6449" t="e">
        <f>VLOOKUP(B6449,'REGISTRO ABONOS'!$B$8:$BC$10012,54,0)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6"/>
        <v>105000</v>
      </c>
      <c r="K6450" t="e">
        <f>VLOOKUP(B6450,'REGISTRO ABONOS'!$B$8:$BC$10012,54,0)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6"/>
        <v>105000</v>
      </c>
      <c r="K6451" t="e">
        <f>VLOOKUP(B6451,'REGISTRO ABONOS'!$B$8:$BC$10012,54,0)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6"/>
        <v>105000</v>
      </c>
      <c r="K6452" t="e">
        <f>VLOOKUP(B6452,'REGISTRO ABONOS'!$B$8:$BC$10012,54,0)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6"/>
        <v>105000</v>
      </c>
      <c r="K6453" t="e">
        <f>VLOOKUP(B6453,'REGISTRO ABONOS'!$B$8:$BC$10012,54,0)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6"/>
        <v>105000</v>
      </c>
      <c r="K6454" t="e">
        <f>VLOOKUP(B6454,'REGISTRO ABONOS'!$B$8:$BC$10012,54,0)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6"/>
        <v>105000</v>
      </c>
      <c r="K6455" t="e">
        <f>VLOOKUP(B6455,'REGISTRO ABONOS'!$B$8:$BC$10012,54,0)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6"/>
        <v>105000</v>
      </c>
      <c r="K6456" t="e">
        <f>VLOOKUP(B6456,'REGISTRO ABONOS'!$B$8:$BC$10012,54,0)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6"/>
        <v>105000</v>
      </c>
      <c r="K6457" t="e">
        <f>VLOOKUP(B6457,'REGISTRO ABONOS'!$B$8:$BC$10012,54,0)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6"/>
        <v>105000</v>
      </c>
      <c r="K6458" t="e">
        <f>VLOOKUP(B6458,'REGISTRO ABONOS'!$B$8:$BC$10012,54,0)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6"/>
        <v>105000</v>
      </c>
      <c r="K6459" t="e">
        <f>VLOOKUP(B6459,'REGISTRO ABONOS'!$B$8:$BC$10012,54,0)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6"/>
        <v>105000</v>
      </c>
      <c r="K6460" t="e">
        <f>VLOOKUP(B6460,'REGISTRO ABONOS'!$B$8:$BC$10012,54,0)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6"/>
        <v>105000</v>
      </c>
      <c r="K6461" t="e">
        <f>VLOOKUP(B6461,'REGISTRO ABONOS'!$B$8:$BC$10012,54,0)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6"/>
        <v>105000</v>
      </c>
      <c r="K6462" t="e">
        <f>VLOOKUP(B6462,'REGISTRO ABONOS'!$B$8:$BC$10012,54,0)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6"/>
        <v>105000</v>
      </c>
      <c r="K6463" t="e">
        <f>VLOOKUP(B6463,'REGISTRO ABONOS'!$B$8:$BC$10012,54,0)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6"/>
        <v>105000</v>
      </c>
      <c r="K6464" t="e">
        <f>VLOOKUP(B6464,'REGISTRO ABONOS'!$B$8:$BC$10012,54,0)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6"/>
        <v>105000</v>
      </c>
      <c r="K6465" t="e">
        <f>VLOOKUP(B6465,'REGISTRO ABONOS'!$B$8:$BC$10012,54,0)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6"/>
        <v>105000</v>
      </c>
      <c r="K6466" t="e">
        <f>VLOOKUP(B6466,'REGISTRO ABONOS'!$B$8:$BC$10012,54,0)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6"/>
        <v>105000</v>
      </c>
      <c r="K6467" t="e">
        <f>VLOOKUP(B6467,'REGISTRO ABONOS'!$B$8:$BC$10012,54,0)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6"/>
        <v>105000</v>
      </c>
      <c r="K6468" t="e">
        <f>VLOOKUP(B6468,'REGISTRO ABONOS'!$B$8:$BC$10012,54,0)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6"/>
        <v>105000</v>
      </c>
      <c r="K6469" t="e">
        <f>VLOOKUP(B6469,'REGISTRO ABONOS'!$B$8:$BC$10012,54,0)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6"/>
        <v>105000</v>
      </c>
      <c r="K6470" t="e">
        <f>VLOOKUP(B6470,'REGISTRO ABONOS'!$B$8:$BC$10012,54,0)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6"/>
        <v>105000</v>
      </c>
      <c r="K6471" t="e">
        <f>VLOOKUP(B6471,'REGISTRO ABONOS'!$B$8:$BC$10012,54,0)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6"/>
        <v>105000</v>
      </c>
      <c r="K6472" t="e">
        <f>VLOOKUP(B6472,'REGISTRO ABONOS'!$B$8:$BC$10012,54,0)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6"/>
        <v>105000</v>
      </c>
      <c r="K6473" t="e">
        <f>VLOOKUP(B6473,'REGISTRO ABONOS'!$B$8:$BC$10012,54,0)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6"/>
        <v>105000</v>
      </c>
      <c r="K6474" t="e">
        <f>VLOOKUP(B6474,'REGISTRO ABONOS'!$B$8:$BC$10012,54,0)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6"/>
        <v>105000</v>
      </c>
      <c r="K6475" t="e">
        <f>VLOOKUP(B6475,'REGISTRO ABONOS'!$B$8:$BC$10012,54,0)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6"/>
        <v>105000</v>
      </c>
      <c r="K6476" t="e">
        <f>VLOOKUP(B6476,'REGISTRO ABONOS'!$B$8:$BC$10012,54,0)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6"/>
        <v>105000</v>
      </c>
      <c r="K6477" t="e">
        <f>VLOOKUP(B6477,'REGISTRO ABONOS'!$B$8:$BC$10012,54,0)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6"/>
        <v>105000</v>
      </c>
      <c r="K6478" t="e">
        <f>VLOOKUP(B6478,'REGISTRO ABONOS'!$B$8:$BC$10012,54,0)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6"/>
        <v>105000</v>
      </c>
      <c r="K6479" t="e">
        <f>VLOOKUP(B6479,'REGISTRO ABONOS'!$B$8:$BC$10012,54,0)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6"/>
        <v>105000</v>
      </c>
      <c r="K6480" t="e">
        <f>VLOOKUP(B6480,'REGISTRO ABONOS'!$B$8:$BC$10012,54,0)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6"/>
        <v>105000</v>
      </c>
      <c r="K6481" t="e">
        <f>VLOOKUP(B6481,'REGISTRO ABONOS'!$B$8:$BC$10012,54,0)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6"/>
        <v>105000</v>
      </c>
      <c r="K6482" t="e">
        <f>VLOOKUP(B6482,'REGISTRO ABONOS'!$B$8:$BC$10012,54,0)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6"/>
        <v>105000</v>
      </c>
      <c r="K6483" t="e">
        <f>VLOOKUP(B6483,'REGISTRO ABONOS'!$B$8:$BC$10012,54,0)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J6484">
        <f t="shared" si="106"/>
        <v>105000</v>
      </c>
      <c r="K6484" t="e">
        <f>VLOOKUP(B6484,'REGISTRO ABONOS'!$B$8:$BC$10012,54,0)</f>
        <v>#N/A</v>
      </c>
      <c r="L6484" t="e">
        <f>IF(Tabla26[[#This Row],[VALOR RESTANTE]]&lt;Tabla26[[#This Row],[VALOR]],"NO DISPONIBLE","DISPONIBLE")</f>
        <v>#N/A</v>
      </c>
      <c r="M6484" s="9">
        <f>COUNTIF(Tabla26[[#This Row],[VALOR RESTANTE]],0)</f>
        <v>0</v>
      </c>
    </row>
    <row r="6485" spans="2:13" x14ac:dyDescent="0.2">
      <c r="B6485" s="31">
        <v>6476</v>
      </c>
      <c r="J6485">
        <f t="shared" si="106"/>
        <v>105000</v>
      </c>
      <c r="K6485" t="e">
        <f>VLOOKUP(B6485,'REGISTRO ABONOS'!$B$8:$BC$10012,54,0)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6"/>
        <v>105000</v>
      </c>
      <c r="K6486" t="e">
        <f>VLOOKUP(B6486,'REGISTRO ABONOS'!$B$8:$BC$10012,54,0)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6"/>
        <v>105000</v>
      </c>
      <c r="K6487" t="e">
        <f>VLOOKUP(B6487,'REGISTRO ABONOS'!$B$8:$BC$10012,54,0)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6"/>
        <v>105000</v>
      </c>
      <c r="K6488" t="e">
        <f>VLOOKUP(B6488,'REGISTRO ABONOS'!$B$8:$BC$10012,54,0)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6"/>
        <v>105000</v>
      </c>
      <c r="K6489" t="e">
        <f>VLOOKUP(B6489,'REGISTRO ABONOS'!$B$8:$BC$10012,54,0)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6"/>
        <v>105000</v>
      </c>
      <c r="K6490" t="e">
        <f>VLOOKUP(B6490,'REGISTRO ABONOS'!$B$8:$BC$10012,54,0)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6"/>
        <v>105000</v>
      </c>
      <c r="K6491" t="e">
        <f>VLOOKUP(B6491,'REGISTRO ABONOS'!$B$8:$BC$10012,54,0)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6"/>
        <v>105000</v>
      </c>
      <c r="K6492" t="e">
        <f>VLOOKUP(B6492,'REGISTRO ABONOS'!$B$8:$BC$10012,54,0)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6"/>
        <v>105000</v>
      </c>
      <c r="K6493" t="e">
        <f>VLOOKUP(B6493,'REGISTRO ABONOS'!$B$8:$BC$10012,54,0)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6"/>
        <v>105000</v>
      </c>
      <c r="K6494" t="e">
        <f>VLOOKUP(B6494,'REGISTRO ABONOS'!$B$8:$BC$10012,54,0)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6"/>
        <v>105000</v>
      </c>
      <c r="K6495" t="e">
        <f>VLOOKUP(B6495,'REGISTRO ABONOS'!$B$8:$BC$10012,54,0)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6"/>
        <v>105000</v>
      </c>
      <c r="K6496" t="e">
        <f>VLOOKUP(B6496,'REGISTRO ABONOS'!$B$8:$BC$10012,54,0)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6"/>
        <v>105000</v>
      </c>
      <c r="K6497" t="e">
        <f>VLOOKUP(B6497,'REGISTRO ABONOS'!$B$8:$BC$10012,54,0)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6"/>
        <v>105000</v>
      </c>
      <c r="K6498" t="e">
        <f>VLOOKUP(B6498,'REGISTRO ABONOS'!$B$8:$BC$10012,54,0)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6"/>
        <v>105000</v>
      </c>
      <c r="K6499" t="e">
        <f>VLOOKUP(B6499,'REGISTRO ABONOS'!$B$8:$BC$10012,54,0)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6"/>
        <v>105000</v>
      </c>
      <c r="K6500" t="e">
        <f>VLOOKUP(B6500,'REGISTRO ABONOS'!$B$8:$BC$10012,54,0)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6"/>
        <v>105000</v>
      </c>
      <c r="K6501" t="e">
        <f>VLOOKUP(B6501,'REGISTRO ABONOS'!$B$8:$BC$10012,54,0)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6"/>
        <v>105000</v>
      </c>
      <c r="K6502" t="e">
        <f>VLOOKUP(B6502,'REGISTRO ABONOS'!$B$8:$BC$10012,54,0)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6"/>
        <v>105000</v>
      </c>
      <c r="K6503" t="e">
        <f>VLOOKUP(B6503,'REGISTRO ABONOS'!$B$8:$BC$10012,54,0)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6"/>
        <v>105000</v>
      </c>
      <c r="K6504" t="e">
        <f>VLOOKUP(B6504,'REGISTRO ABONOS'!$B$8:$BC$10012,54,0)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6"/>
        <v>105000</v>
      </c>
      <c r="K6505" t="e">
        <f>VLOOKUP(B6505,'REGISTRO ABONOS'!$B$8:$BC$10012,54,0)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6"/>
        <v>105000</v>
      </c>
      <c r="K6506" t="e">
        <f>VLOOKUP(B6506,'REGISTRO ABONOS'!$B$8:$BC$10012,54,0)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6"/>
        <v>105000</v>
      </c>
      <c r="K6507" t="e">
        <f>VLOOKUP(B6507,'REGISTRO ABONOS'!$B$8:$BC$10012,54,0)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6"/>
        <v>105000</v>
      </c>
      <c r="K6508" t="e">
        <f>VLOOKUP(B6508,'REGISTRO ABONOS'!$B$8:$BC$10012,54,0)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6"/>
        <v>105000</v>
      </c>
      <c r="K6509" t="e">
        <f>VLOOKUP(B6509,'REGISTRO ABONOS'!$B$8:$BC$10012,54,0)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6"/>
        <v>105000</v>
      </c>
      <c r="K6510" t="e">
        <f>VLOOKUP(B6510,'REGISTRO ABONOS'!$B$8:$BC$10012,54,0)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6"/>
        <v>105000</v>
      </c>
      <c r="K6511" t="e">
        <f>VLOOKUP(B6511,'REGISTRO ABONOS'!$B$8:$BC$10012,54,0)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ABONOS'!$B$8:$BC$10012,54,0)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7"/>
        <v>105000</v>
      </c>
      <c r="K6513" t="e">
        <f>VLOOKUP(B6513,'REGISTRO ABONOS'!$B$8:$BC$10012,54,0)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7"/>
        <v>105000</v>
      </c>
      <c r="K6514" t="e">
        <f>VLOOKUP(B6514,'REGISTRO ABONOS'!$B$8:$BC$10012,54,0)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7"/>
        <v>105000</v>
      </c>
      <c r="K6515" t="e">
        <f>VLOOKUP(B6515,'REGISTRO ABONOS'!$B$8:$BC$10012,54,0)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7"/>
        <v>105000</v>
      </c>
      <c r="K6516" t="e">
        <f>VLOOKUP(B6516,'REGISTRO ABONOS'!$B$8:$BC$10012,54,0)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7"/>
        <v>105000</v>
      </c>
      <c r="K6517" t="e">
        <f>VLOOKUP(B6517,'REGISTRO ABONOS'!$B$8:$BC$10012,54,0)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7"/>
        <v>105000</v>
      </c>
      <c r="K6518" t="e">
        <f>VLOOKUP(B6518,'REGISTRO ABONOS'!$B$8:$BC$10012,54,0)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7"/>
        <v>105000</v>
      </c>
      <c r="K6519" t="e">
        <f>VLOOKUP(B6519,'REGISTRO ABONOS'!$B$8:$BC$10012,54,0)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7"/>
        <v>105000</v>
      </c>
      <c r="K6520" t="e">
        <f>VLOOKUP(B6520,'REGISTRO ABONOS'!$B$8:$BC$10012,54,0)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7"/>
        <v>105000</v>
      </c>
      <c r="K6521" t="e">
        <f>VLOOKUP(B6521,'REGISTRO ABONOS'!$B$8:$BC$10012,54,0)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7"/>
        <v>105000</v>
      </c>
      <c r="K6522" t="e">
        <f>VLOOKUP(B6522,'REGISTRO ABONOS'!$B$8:$BC$10012,54,0)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7"/>
        <v>105000</v>
      </c>
      <c r="K6523" t="e">
        <f>VLOOKUP(B6523,'REGISTRO ABONOS'!$B$8:$BC$10012,54,0)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7"/>
        <v>105000</v>
      </c>
      <c r="K6524" t="e">
        <f>VLOOKUP(B6524,'REGISTRO ABONOS'!$B$8:$BC$10012,54,0)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7"/>
        <v>105000</v>
      </c>
      <c r="K6525" t="e">
        <f>VLOOKUP(B6525,'REGISTRO ABONOS'!$B$8:$BC$10012,54,0)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7"/>
        <v>105000</v>
      </c>
      <c r="K6526" t="e">
        <f>VLOOKUP(B6526,'REGISTRO ABONOS'!$B$8:$BC$10012,54,0)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7"/>
        <v>105000</v>
      </c>
      <c r="K6527" t="e">
        <f>VLOOKUP(B6527,'REGISTRO ABONOS'!$B$8:$BC$10012,54,0)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7"/>
        <v>105000</v>
      </c>
      <c r="K6528" t="e">
        <f>VLOOKUP(B6528,'REGISTRO ABONOS'!$B$8:$BC$10012,54,0)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7"/>
        <v>105000</v>
      </c>
      <c r="K6529" t="e">
        <f>VLOOKUP(B6529,'REGISTRO ABONOS'!$B$8:$BC$10012,54,0)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7"/>
        <v>105000</v>
      </c>
      <c r="K6530" t="e">
        <f>VLOOKUP(B6530,'REGISTRO ABONOS'!$B$8:$BC$10012,54,0)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7"/>
        <v>105000</v>
      </c>
      <c r="K6531" t="e">
        <f>VLOOKUP(B6531,'REGISTRO ABONOS'!$B$8:$BC$10012,54,0)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7"/>
        <v>105000</v>
      </c>
      <c r="K6532" t="e">
        <f>VLOOKUP(B6532,'REGISTRO ABONOS'!$B$8:$BC$10012,54,0)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7"/>
        <v>105000</v>
      </c>
      <c r="K6533" t="e">
        <f>VLOOKUP(B6533,'REGISTRO ABONOS'!$B$8:$BC$10012,54,0)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7"/>
        <v>105000</v>
      </c>
      <c r="K6534" t="e">
        <f>VLOOKUP(B6534,'REGISTRO ABONOS'!$B$8:$BC$10012,54,0)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7"/>
        <v>105000</v>
      </c>
      <c r="K6535" t="e">
        <f>VLOOKUP(B6535,'REGISTRO ABONOS'!$B$8:$BC$10012,54,0)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7"/>
        <v>105000</v>
      </c>
      <c r="K6536" t="e">
        <f>VLOOKUP(B6536,'REGISTRO ABONOS'!$B$8:$BC$10012,54,0)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7"/>
        <v>105000</v>
      </c>
      <c r="K6537" t="e">
        <f>VLOOKUP(B6537,'REGISTRO ABONOS'!$B$8:$BC$10012,54,0)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7"/>
        <v>105000</v>
      </c>
      <c r="K6538" t="e">
        <f>VLOOKUP(B6538,'REGISTRO ABONOS'!$B$8:$BC$10012,54,0)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7"/>
        <v>105000</v>
      </c>
      <c r="K6539" t="e">
        <f>VLOOKUP(B6539,'REGISTRO ABONOS'!$B$8:$BC$10012,54,0)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7"/>
        <v>105000</v>
      </c>
      <c r="K6540" t="e">
        <f>VLOOKUP(B6540,'REGISTRO ABONOS'!$B$8:$BC$10012,54,0)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7"/>
        <v>105000</v>
      </c>
      <c r="K6541" t="e">
        <f>VLOOKUP(B6541,'REGISTRO ABONOS'!$B$8:$BC$10012,54,0)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7"/>
        <v>105000</v>
      </c>
      <c r="K6542" t="e">
        <f>VLOOKUP(B6542,'REGISTRO ABONOS'!$B$8:$BC$10012,54,0)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7"/>
        <v>105000</v>
      </c>
      <c r="K6543" t="e">
        <f>VLOOKUP(B6543,'REGISTRO ABONOS'!$B$8:$BC$10012,54,0)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7"/>
        <v>105000</v>
      </c>
      <c r="K6544" t="e">
        <f>VLOOKUP(B6544,'REGISTRO ABONOS'!$B$8:$BC$10012,54,0)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7"/>
        <v>105000</v>
      </c>
      <c r="K6545" t="e">
        <f>VLOOKUP(B6545,'REGISTRO ABONOS'!$B$8:$BC$10012,54,0)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7"/>
        <v>105000</v>
      </c>
      <c r="K6546" t="e">
        <f>VLOOKUP(B6546,'REGISTRO ABONOS'!$B$8:$BC$10012,54,0)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7"/>
        <v>105000</v>
      </c>
      <c r="K6547" t="e">
        <f>VLOOKUP(B6547,'REGISTRO ABONOS'!$B$8:$BC$10012,54,0)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7"/>
        <v>105000</v>
      </c>
      <c r="K6548" t="e">
        <f>VLOOKUP(B6548,'REGISTRO ABONOS'!$B$8:$BC$10012,54,0)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7"/>
        <v>105000</v>
      </c>
      <c r="K6549" t="e">
        <f>VLOOKUP(B6549,'REGISTRO ABONOS'!$B$8:$BC$10012,54,0)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7"/>
        <v>105000</v>
      </c>
      <c r="K6550" t="e">
        <f>VLOOKUP(B6550,'REGISTRO ABONOS'!$B$8:$BC$10012,54,0)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7"/>
        <v>105000</v>
      </c>
      <c r="K6551" t="e">
        <f>VLOOKUP(B6551,'REGISTRO ABONOS'!$B$8:$BC$10012,54,0)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7"/>
        <v>105000</v>
      </c>
      <c r="K6552" t="e">
        <f>VLOOKUP(B6552,'REGISTRO ABONOS'!$B$8:$BC$10012,54,0)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7"/>
        <v>105000</v>
      </c>
      <c r="K6553" t="e">
        <f>VLOOKUP(B6553,'REGISTRO ABONOS'!$B$8:$BC$10012,54,0)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7"/>
        <v>105000</v>
      </c>
      <c r="K6554" t="e">
        <f>VLOOKUP(B6554,'REGISTRO ABONOS'!$B$8:$BC$10012,54,0)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7"/>
        <v>105000</v>
      </c>
      <c r="K6555" t="e">
        <f>VLOOKUP(B6555,'REGISTRO ABONOS'!$B$8:$BC$10012,54,0)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7"/>
        <v>105000</v>
      </c>
      <c r="K6556" t="e">
        <f>VLOOKUP(B6556,'REGISTRO ABONOS'!$B$8:$BC$10012,54,0)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7"/>
        <v>105000</v>
      </c>
      <c r="K6557" t="e">
        <f>VLOOKUP(B6557,'REGISTRO ABONOS'!$B$8:$BC$10012,54,0)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7"/>
        <v>105000</v>
      </c>
      <c r="K6558" t="e">
        <f>VLOOKUP(B6558,'REGISTRO ABONOS'!$B$8:$BC$10012,54,0)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7"/>
        <v>105000</v>
      </c>
      <c r="K6559" t="e">
        <f>VLOOKUP(B6559,'REGISTRO ABONOS'!$B$8:$BC$10012,54,0)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7"/>
        <v>105000</v>
      </c>
      <c r="K6560" t="e">
        <f>VLOOKUP(B6560,'REGISTRO ABONOS'!$B$8:$BC$10012,54,0)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7"/>
        <v>105000</v>
      </c>
      <c r="K6561" t="e">
        <f>VLOOKUP(B6561,'REGISTRO ABONOS'!$B$8:$BC$10012,54,0)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7"/>
        <v>105000</v>
      </c>
      <c r="K6562" t="e">
        <f>VLOOKUP(B6562,'REGISTRO ABONOS'!$B$8:$BC$10012,54,0)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7"/>
        <v>105000</v>
      </c>
      <c r="K6563" t="e">
        <f>VLOOKUP(B6563,'REGISTRO ABONOS'!$B$8:$BC$10012,54,0)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7"/>
        <v>105000</v>
      </c>
      <c r="K6564" t="e">
        <f>VLOOKUP(B6564,'REGISTRO ABONOS'!$B$8:$BC$10012,54,0)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7"/>
        <v>105000</v>
      </c>
      <c r="K6565" t="e">
        <f>VLOOKUP(B6565,'REGISTRO ABONOS'!$B$8:$BC$10012,54,0)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7"/>
        <v>105000</v>
      </c>
      <c r="K6566" t="e">
        <f>VLOOKUP(B6566,'REGISTRO ABONOS'!$B$8:$BC$10012,54,0)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7"/>
        <v>105000</v>
      </c>
      <c r="K6567" t="e">
        <f>VLOOKUP(B6567,'REGISTRO ABONOS'!$B$8:$BC$10012,54,0)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7"/>
        <v>105000</v>
      </c>
      <c r="K6568" t="e">
        <f>VLOOKUP(B6568,'REGISTRO ABONOS'!$B$8:$BC$10012,54,0)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7"/>
        <v>105000</v>
      </c>
      <c r="K6569" t="e">
        <f>VLOOKUP(B6569,'REGISTRO ABONOS'!$B$8:$BC$10012,54,0)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7"/>
        <v>105000</v>
      </c>
      <c r="K6570" t="e">
        <f>VLOOKUP(B6570,'REGISTRO ABONOS'!$B$8:$BC$10012,54,0)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7"/>
        <v>105000</v>
      </c>
      <c r="K6571" t="e">
        <f>VLOOKUP(B6571,'REGISTRO ABONOS'!$B$8:$BC$10012,54,0)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7"/>
        <v>105000</v>
      </c>
      <c r="K6572" t="e">
        <f>VLOOKUP(B6572,'REGISTRO ABONOS'!$B$8:$BC$10012,54,0)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7"/>
        <v>105000</v>
      </c>
      <c r="K6573" t="e">
        <f>VLOOKUP(B6573,'REGISTRO ABONOS'!$B$8:$BC$10012,54,0)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7"/>
        <v>105000</v>
      </c>
      <c r="K6574" t="e">
        <f>VLOOKUP(B6574,'REGISTRO ABONOS'!$B$8:$BC$10012,54,0)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7"/>
        <v>105000</v>
      </c>
      <c r="K6575" t="e">
        <f>VLOOKUP(B6575,'REGISTRO ABONOS'!$B$8:$BC$10012,54,0)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ABONOS'!$B$8:$BC$10012,54,0)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8"/>
        <v>105000</v>
      </c>
      <c r="K6577" t="e">
        <f>VLOOKUP(B6577,'REGISTRO ABONOS'!$B$8:$BC$10012,54,0)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8"/>
        <v>105000</v>
      </c>
      <c r="K6578" t="e">
        <f>VLOOKUP(B6578,'REGISTRO ABONOS'!$B$8:$BC$10012,54,0)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8"/>
        <v>105000</v>
      </c>
      <c r="K6579" t="e">
        <f>VLOOKUP(B6579,'REGISTRO ABONOS'!$B$8:$BC$10012,54,0)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8"/>
        <v>105000</v>
      </c>
      <c r="K6580" t="e">
        <f>VLOOKUP(B6580,'REGISTRO ABONOS'!$B$8:$BC$10012,54,0)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8"/>
        <v>105000</v>
      </c>
      <c r="K6581" t="e">
        <f>VLOOKUP(B6581,'REGISTRO ABONOS'!$B$8:$BC$10012,54,0)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8"/>
        <v>105000</v>
      </c>
      <c r="K6582" t="e">
        <f>VLOOKUP(B6582,'REGISTRO ABONOS'!$B$8:$BC$10012,54,0)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8"/>
        <v>105000</v>
      </c>
      <c r="K6583" t="e">
        <f>VLOOKUP(B6583,'REGISTRO ABONOS'!$B$8:$BC$10012,54,0)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8"/>
        <v>105000</v>
      </c>
      <c r="K6584" t="e">
        <f>VLOOKUP(B6584,'REGISTRO ABONOS'!$B$8:$BC$10012,54,0)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8"/>
        <v>105000</v>
      </c>
      <c r="K6585" t="e">
        <f>VLOOKUP(B6585,'REGISTRO ABONOS'!$B$8:$BC$10012,54,0)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8"/>
        <v>105000</v>
      </c>
      <c r="K6586" t="e">
        <f>VLOOKUP(B6586,'REGISTRO ABONOS'!$B$8:$BC$10012,54,0)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8"/>
        <v>105000</v>
      </c>
      <c r="K6587" t="e">
        <f>VLOOKUP(B6587,'REGISTRO ABONOS'!$B$8:$BC$10012,54,0)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8"/>
        <v>105000</v>
      </c>
      <c r="K6588" t="e">
        <f>VLOOKUP(B6588,'REGISTRO ABONOS'!$B$8:$BC$10012,54,0)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8"/>
        <v>105000</v>
      </c>
      <c r="K6589" t="e">
        <f>VLOOKUP(B6589,'REGISTRO ABONOS'!$B$8:$BC$10012,54,0)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8"/>
        <v>105000</v>
      </c>
      <c r="K6590" t="e">
        <f>VLOOKUP(B6590,'REGISTRO ABONOS'!$B$8:$BC$10012,54,0)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8"/>
        <v>105000</v>
      </c>
      <c r="K6591" t="e">
        <f>VLOOKUP(B6591,'REGISTRO ABONOS'!$B$8:$BC$10012,54,0)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8"/>
        <v>105000</v>
      </c>
      <c r="K6592" t="e">
        <f>VLOOKUP(B6592,'REGISTRO ABONOS'!$B$8:$BC$10012,54,0)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8"/>
        <v>105000</v>
      </c>
      <c r="K6593" t="e">
        <f>VLOOKUP(B6593,'REGISTRO ABONOS'!$B$8:$BC$10012,54,0)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8"/>
        <v>105000</v>
      </c>
      <c r="K6594" t="e">
        <f>VLOOKUP(B6594,'REGISTRO ABONOS'!$B$8:$BC$10012,54,0)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8"/>
        <v>105000</v>
      </c>
      <c r="K6595" t="e">
        <f>VLOOKUP(B6595,'REGISTRO ABONOS'!$B$8:$BC$10012,54,0)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8"/>
        <v>105000</v>
      </c>
      <c r="K6596" t="e">
        <f>VLOOKUP(B6596,'REGISTRO ABONOS'!$B$8:$BC$10012,54,0)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8"/>
        <v>105000</v>
      </c>
      <c r="K6597" t="e">
        <f>VLOOKUP(B6597,'REGISTRO ABONOS'!$B$8:$BC$10012,54,0)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8"/>
        <v>105000</v>
      </c>
      <c r="K6598" t="e">
        <f>VLOOKUP(B6598,'REGISTRO ABONOS'!$B$8:$BC$10012,54,0)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8"/>
        <v>105000</v>
      </c>
      <c r="K6599" t="e">
        <f>VLOOKUP(B6599,'REGISTRO ABONOS'!$B$8:$BC$10012,54,0)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8"/>
        <v>105000</v>
      </c>
      <c r="K6600" t="e">
        <f>VLOOKUP(B6600,'REGISTRO ABONOS'!$B$8:$BC$10012,54,0)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8"/>
        <v>105000</v>
      </c>
      <c r="K6601" t="e">
        <f>VLOOKUP(B6601,'REGISTRO ABONOS'!$B$8:$BC$10012,54,0)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8"/>
        <v>105000</v>
      </c>
      <c r="K6602" t="e">
        <f>VLOOKUP(B6602,'REGISTRO ABONOS'!$B$8:$BC$10012,54,0)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8"/>
        <v>105000</v>
      </c>
      <c r="K6603" t="e">
        <f>VLOOKUP(B6603,'REGISTRO ABONOS'!$B$8:$BC$10012,54,0)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8"/>
        <v>105000</v>
      </c>
      <c r="K6604" t="e">
        <f>VLOOKUP(B6604,'REGISTRO ABONOS'!$B$8:$BC$10012,54,0)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8"/>
        <v>105000</v>
      </c>
      <c r="K6605" t="e">
        <f>VLOOKUP(B6605,'REGISTRO ABONOS'!$B$8:$BC$10012,54,0)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8"/>
        <v>105000</v>
      </c>
      <c r="K6606" t="e">
        <f>VLOOKUP(B6606,'REGISTRO ABONOS'!$B$8:$BC$10012,54,0)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8"/>
        <v>105000</v>
      </c>
      <c r="K6607" t="e">
        <f>VLOOKUP(B6607,'REGISTRO ABONOS'!$B$8:$BC$10012,54,0)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8"/>
        <v>105000</v>
      </c>
      <c r="K6608" t="e">
        <f>VLOOKUP(B6608,'REGISTRO ABONOS'!$B$8:$BC$10012,54,0)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8"/>
        <v>105000</v>
      </c>
      <c r="K6609" t="e">
        <f>VLOOKUP(B6609,'REGISTRO ABONOS'!$B$8:$BC$10012,54,0)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8"/>
        <v>105000</v>
      </c>
      <c r="K6610" t="e">
        <f>VLOOKUP(B6610,'REGISTRO ABONOS'!$B$8:$BC$10012,54,0)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8"/>
        <v>105000</v>
      </c>
      <c r="K6611" t="e">
        <f>VLOOKUP(B6611,'REGISTRO ABONOS'!$B$8:$BC$10012,54,0)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8"/>
        <v>105000</v>
      </c>
      <c r="K6612" t="e">
        <f>VLOOKUP(B6612,'REGISTRO ABONOS'!$B$8:$BC$10012,54,0)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8"/>
        <v>105000</v>
      </c>
      <c r="K6613" t="e">
        <f>VLOOKUP(B6613,'REGISTRO ABONOS'!$B$8:$BC$10012,54,0)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8"/>
        <v>105000</v>
      </c>
      <c r="K6614" t="e">
        <f>VLOOKUP(B6614,'REGISTRO ABONOS'!$B$8:$BC$10012,54,0)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8"/>
        <v>105000</v>
      </c>
      <c r="K6615" t="e">
        <f>VLOOKUP(B6615,'REGISTRO ABONOS'!$B$8:$BC$10012,54,0)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8"/>
        <v>105000</v>
      </c>
      <c r="K6616" t="e">
        <f>VLOOKUP(B6616,'REGISTRO ABONOS'!$B$8:$BC$10012,54,0)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8"/>
        <v>105000</v>
      </c>
      <c r="K6617" t="e">
        <f>VLOOKUP(B6617,'REGISTRO ABONOS'!$B$8:$BC$10012,54,0)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8"/>
        <v>105000</v>
      </c>
      <c r="K6618" t="e">
        <f>VLOOKUP(B6618,'REGISTRO ABONOS'!$B$8:$BC$10012,54,0)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8"/>
        <v>105000</v>
      </c>
      <c r="K6619" t="e">
        <f>VLOOKUP(B6619,'REGISTRO ABONOS'!$B$8:$BC$10012,54,0)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8"/>
        <v>105000</v>
      </c>
      <c r="K6620" t="e">
        <f>VLOOKUP(B6620,'REGISTRO ABONOS'!$B$8:$BC$10012,54,0)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8"/>
        <v>105000</v>
      </c>
      <c r="K6621" t="e">
        <f>VLOOKUP(B6621,'REGISTRO ABONOS'!$B$8:$BC$10012,54,0)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8"/>
        <v>105000</v>
      </c>
      <c r="K6622" t="e">
        <f>VLOOKUP(B6622,'REGISTRO ABONOS'!$B$8:$BC$10012,54,0)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8"/>
        <v>105000</v>
      </c>
      <c r="K6623" t="e">
        <f>VLOOKUP(B6623,'REGISTRO ABONOS'!$B$8:$BC$10012,54,0)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8"/>
        <v>105000</v>
      </c>
      <c r="K6624" t="e">
        <f>VLOOKUP(B6624,'REGISTRO ABONOS'!$B$8:$BC$10012,54,0)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8"/>
        <v>105000</v>
      </c>
      <c r="K6625" t="e">
        <f>VLOOKUP(B6625,'REGISTRO ABONOS'!$B$8:$BC$10012,54,0)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8"/>
        <v>105000</v>
      </c>
      <c r="K6626" t="e">
        <f>VLOOKUP(B6626,'REGISTRO ABONOS'!$B$8:$BC$10012,54,0)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8"/>
        <v>105000</v>
      </c>
      <c r="K6627" t="e">
        <f>VLOOKUP(B6627,'REGISTRO ABONOS'!$B$8:$BC$10012,54,0)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8"/>
        <v>105000</v>
      </c>
      <c r="K6628" t="e">
        <f>VLOOKUP(B6628,'REGISTRO ABONOS'!$B$8:$BC$10012,54,0)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8"/>
        <v>105000</v>
      </c>
      <c r="K6629" t="e">
        <f>VLOOKUP(B6629,'REGISTRO ABONOS'!$B$8:$BC$10012,54,0)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8"/>
        <v>105000</v>
      </c>
      <c r="K6630" t="e">
        <f>VLOOKUP(B6630,'REGISTRO ABONOS'!$B$8:$BC$10012,54,0)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8"/>
        <v>105000</v>
      </c>
      <c r="K6631" t="e">
        <f>VLOOKUP(B6631,'REGISTRO ABONOS'!$B$8:$BC$10012,54,0)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8"/>
        <v>105000</v>
      </c>
      <c r="K6632" t="e">
        <f>VLOOKUP(B6632,'REGISTRO ABONOS'!$B$8:$BC$10012,54,0)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8"/>
        <v>105000</v>
      </c>
      <c r="K6633" t="e">
        <f>VLOOKUP(B6633,'REGISTRO ABONOS'!$B$8:$BC$10012,54,0)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8"/>
        <v>105000</v>
      </c>
      <c r="K6634" t="e">
        <f>VLOOKUP(B6634,'REGISTRO ABONOS'!$B$8:$BC$10012,54,0)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8"/>
        <v>105000</v>
      </c>
      <c r="K6635" t="e">
        <f>VLOOKUP(B6635,'REGISTRO ABONOS'!$B$8:$BC$10012,54,0)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8"/>
        <v>105000</v>
      </c>
      <c r="K6636" t="e">
        <f>VLOOKUP(B6636,'REGISTRO ABONOS'!$B$8:$BC$10012,54,0)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8"/>
        <v>105000</v>
      </c>
      <c r="K6637" t="e">
        <f>VLOOKUP(B6637,'REGISTRO ABONOS'!$B$8:$BC$10012,54,0)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8"/>
        <v>105000</v>
      </c>
      <c r="K6638" t="e">
        <f>VLOOKUP(B6638,'REGISTRO ABONOS'!$B$8:$BC$10012,54,0)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8"/>
        <v>105000</v>
      </c>
      <c r="K6639" t="e">
        <f>VLOOKUP(B6639,'REGISTRO ABONOS'!$B$8:$BC$10012,54,0)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ABONOS'!$B$8:$BC$10012,54,0)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9"/>
        <v>105000</v>
      </c>
      <c r="K6641" t="e">
        <f>VLOOKUP(B6641,'REGISTRO ABONOS'!$B$8:$BC$10012,54,0)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9"/>
        <v>105000</v>
      </c>
      <c r="K6642" t="e">
        <f>VLOOKUP(B6642,'REGISTRO ABONOS'!$B$8:$BC$10012,54,0)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9"/>
        <v>105000</v>
      </c>
      <c r="K6643" t="e">
        <f>VLOOKUP(B6643,'REGISTRO ABONOS'!$B$8:$BC$10012,54,0)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9"/>
        <v>105000</v>
      </c>
      <c r="K6644" t="e">
        <f>VLOOKUP(B6644,'REGISTRO ABONOS'!$B$8:$BC$10012,54,0)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9"/>
        <v>105000</v>
      </c>
      <c r="K6645" t="e">
        <f>VLOOKUP(B6645,'REGISTRO ABONOS'!$B$8:$BC$10012,54,0)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9"/>
        <v>105000</v>
      </c>
      <c r="K6646" t="e">
        <f>VLOOKUP(B6646,'REGISTRO ABONOS'!$B$8:$BC$10012,54,0)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9"/>
        <v>105000</v>
      </c>
      <c r="K6647" t="e">
        <f>VLOOKUP(B6647,'REGISTRO ABONOS'!$B$8:$BC$10012,54,0)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9"/>
        <v>105000</v>
      </c>
      <c r="K6648" t="e">
        <f>VLOOKUP(B6648,'REGISTRO ABONOS'!$B$8:$BC$10012,54,0)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9"/>
        <v>105000</v>
      </c>
      <c r="K6649" t="e">
        <f>VLOOKUP(B6649,'REGISTRO ABONOS'!$B$8:$BC$10012,54,0)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9"/>
        <v>105000</v>
      </c>
      <c r="K6650" t="e">
        <f>VLOOKUP(B6650,'REGISTRO ABONOS'!$B$8:$BC$10012,54,0)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9"/>
        <v>105000</v>
      </c>
      <c r="K6651" t="e">
        <f>VLOOKUP(B6651,'REGISTRO ABONOS'!$B$8:$BC$10012,54,0)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9"/>
        <v>105000</v>
      </c>
      <c r="K6652" t="e">
        <f>VLOOKUP(B6652,'REGISTRO ABONOS'!$B$8:$BC$10012,54,0)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9"/>
        <v>105000</v>
      </c>
      <c r="K6653" t="e">
        <f>VLOOKUP(B6653,'REGISTRO ABONOS'!$B$8:$BC$10012,54,0)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9"/>
        <v>105000</v>
      </c>
      <c r="K6654" t="e">
        <f>VLOOKUP(B6654,'REGISTRO ABONOS'!$B$8:$BC$10012,54,0)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9"/>
        <v>105000</v>
      </c>
      <c r="K6655" t="e">
        <f>VLOOKUP(B6655,'REGISTRO ABONOS'!$B$8:$BC$10012,54,0)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9"/>
        <v>105000</v>
      </c>
      <c r="K6656" t="e">
        <f>VLOOKUP(B6656,'REGISTRO ABONOS'!$B$8:$BC$10012,54,0)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9"/>
        <v>105000</v>
      </c>
      <c r="K6657" t="e">
        <f>VLOOKUP(B6657,'REGISTRO ABONOS'!$B$8:$BC$10012,54,0)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9"/>
        <v>105000</v>
      </c>
      <c r="K6658" t="e">
        <f>VLOOKUP(B6658,'REGISTRO ABONOS'!$B$8:$BC$10012,54,0)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9"/>
        <v>105000</v>
      </c>
      <c r="K6659" t="e">
        <f>VLOOKUP(B6659,'REGISTRO ABONOS'!$B$8:$BC$10012,54,0)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9"/>
        <v>105000</v>
      </c>
      <c r="K6660" t="e">
        <f>VLOOKUP(B6660,'REGISTRO ABONOS'!$B$8:$BC$10012,54,0)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9"/>
        <v>105000</v>
      </c>
      <c r="K6661" t="e">
        <f>VLOOKUP(B6661,'REGISTRO ABONOS'!$B$8:$BC$10012,54,0)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9"/>
        <v>105000</v>
      </c>
      <c r="K6662" t="e">
        <f>VLOOKUP(B6662,'REGISTRO ABONOS'!$B$8:$BC$10012,54,0)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9"/>
        <v>105000</v>
      </c>
      <c r="K6663" t="e">
        <f>VLOOKUP(B6663,'REGISTRO ABONOS'!$B$8:$BC$10012,54,0)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9"/>
        <v>105000</v>
      </c>
      <c r="K6664" t="e">
        <f>VLOOKUP(B6664,'REGISTRO ABONOS'!$B$8:$BC$10012,54,0)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9"/>
        <v>105000</v>
      </c>
      <c r="K6665" t="e">
        <f>VLOOKUP(B6665,'REGISTRO ABONOS'!$B$8:$BC$10012,54,0)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9"/>
        <v>105000</v>
      </c>
      <c r="K6666" t="e">
        <f>VLOOKUP(B6666,'REGISTRO ABONOS'!$B$8:$BC$10012,54,0)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9"/>
        <v>105000</v>
      </c>
      <c r="K6667" t="e">
        <f>VLOOKUP(B6667,'REGISTRO ABONOS'!$B$8:$BC$10012,54,0)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9"/>
        <v>105000</v>
      </c>
      <c r="K6668" t="e">
        <f>VLOOKUP(B6668,'REGISTRO ABONOS'!$B$8:$BC$10012,54,0)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9"/>
        <v>105000</v>
      </c>
      <c r="K6669" t="e">
        <f>VLOOKUP(B6669,'REGISTRO ABONOS'!$B$8:$BC$10012,54,0)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9"/>
        <v>105000</v>
      </c>
      <c r="K6670" t="e">
        <f>VLOOKUP(B6670,'REGISTRO ABONOS'!$B$8:$BC$10012,54,0)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9"/>
        <v>105000</v>
      </c>
      <c r="K6671" t="e">
        <f>VLOOKUP(B6671,'REGISTRO ABONOS'!$B$8:$BC$10012,54,0)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9"/>
        <v>105000</v>
      </c>
      <c r="K6672" t="e">
        <f>VLOOKUP(B6672,'REGISTRO ABONOS'!$B$8:$BC$10012,54,0)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9"/>
        <v>105000</v>
      </c>
      <c r="K6673" t="e">
        <f>VLOOKUP(B6673,'REGISTRO ABONOS'!$B$8:$BC$10012,54,0)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9"/>
        <v>105000</v>
      </c>
      <c r="K6674" t="e">
        <f>VLOOKUP(B6674,'REGISTRO ABONOS'!$B$8:$BC$10012,54,0)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9"/>
        <v>105000</v>
      </c>
      <c r="K6675" t="e">
        <f>VLOOKUP(B6675,'REGISTRO ABONOS'!$B$8:$BC$10012,54,0)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9"/>
        <v>105000</v>
      </c>
      <c r="K6676" t="e">
        <f>VLOOKUP(B6676,'REGISTRO ABONOS'!$B$8:$BC$10012,54,0)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9"/>
        <v>105000</v>
      </c>
      <c r="K6677" t="e">
        <f>VLOOKUP(B6677,'REGISTRO ABONOS'!$B$8:$BC$10012,54,0)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9"/>
        <v>105000</v>
      </c>
      <c r="K6678" t="e">
        <f>VLOOKUP(B6678,'REGISTRO ABONOS'!$B$8:$BC$10012,54,0)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9"/>
        <v>105000</v>
      </c>
      <c r="K6679" t="e">
        <f>VLOOKUP(B6679,'REGISTRO ABONOS'!$B$8:$BC$10012,54,0)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9"/>
        <v>105000</v>
      </c>
      <c r="K6680" t="e">
        <f>VLOOKUP(B6680,'REGISTRO ABONOS'!$B$8:$BC$10012,54,0)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9"/>
        <v>105000</v>
      </c>
      <c r="K6681" t="e">
        <f>VLOOKUP(B6681,'REGISTRO ABONOS'!$B$8:$BC$10012,54,0)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9"/>
        <v>105000</v>
      </c>
      <c r="K6682" t="e">
        <f>VLOOKUP(B6682,'REGISTRO ABONOS'!$B$8:$BC$10012,54,0)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9"/>
        <v>105000</v>
      </c>
      <c r="K6683" t="e">
        <f>VLOOKUP(B6683,'REGISTRO ABONOS'!$B$8:$BC$10012,54,0)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9"/>
        <v>105000</v>
      </c>
      <c r="K6684" t="e">
        <f>VLOOKUP(B6684,'REGISTRO ABONOS'!$B$8:$BC$10012,54,0)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9"/>
        <v>105000</v>
      </c>
      <c r="K6685" t="e">
        <f>VLOOKUP(B6685,'REGISTRO ABONOS'!$B$8:$BC$10012,54,0)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9"/>
        <v>105000</v>
      </c>
      <c r="K6686" t="e">
        <f>VLOOKUP(B6686,'REGISTRO ABONOS'!$B$8:$BC$10012,54,0)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9"/>
        <v>105000</v>
      </c>
      <c r="K6687" t="e">
        <f>VLOOKUP(B6687,'REGISTRO ABONOS'!$B$8:$BC$10012,54,0)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9"/>
        <v>105000</v>
      </c>
      <c r="K6688" t="e">
        <f>VLOOKUP(B6688,'REGISTRO ABONOS'!$B$8:$BC$10012,54,0)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9"/>
        <v>105000</v>
      </c>
      <c r="K6689" t="e">
        <f>VLOOKUP(B6689,'REGISTRO ABONOS'!$B$8:$BC$10012,54,0)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9"/>
        <v>105000</v>
      </c>
      <c r="K6690" t="e">
        <f>VLOOKUP(B6690,'REGISTRO ABONOS'!$B$8:$BC$10012,54,0)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9"/>
        <v>105000</v>
      </c>
      <c r="K6691" t="e">
        <f>VLOOKUP(B6691,'REGISTRO ABONOS'!$B$8:$BC$10012,54,0)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9"/>
        <v>105000</v>
      </c>
      <c r="K6692" t="e">
        <f>VLOOKUP(B6692,'REGISTRO ABONOS'!$B$8:$BC$10012,54,0)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9"/>
        <v>105000</v>
      </c>
      <c r="K6693" t="e">
        <f>VLOOKUP(B6693,'REGISTRO ABONOS'!$B$8:$BC$10012,54,0)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9"/>
        <v>105000</v>
      </c>
      <c r="K6694" t="e">
        <f>VLOOKUP(B6694,'REGISTRO ABONOS'!$B$8:$BC$10012,54,0)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9"/>
        <v>105000</v>
      </c>
      <c r="K6695" t="e">
        <f>VLOOKUP(B6695,'REGISTRO ABONOS'!$B$8:$BC$10012,54,0)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9"/>
        <v>105000</v>
      </c>
      <c r="K6696" t="e">
        <f>VLOOKUP(B6696,'REGISTRO ABONOS'!$B$8:$BC$10012,54,0)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9"/>
        <v>105000</v>
      </c>
      <c r="K6697" t="e">
        <f>VLOOKUP(B6697,'REGISTRO ABONOS'!$B$8:$BC$10012,54,0)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9"/>
        <v>105000</v>
      </c>
      <c r="K6698" t="e">
        <f>VLOOKUP(B6698,'REGISTRO ABONOS'!$B$8:$BC$10012,54,0)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9"/>
        <v>105000</v>
      </c>
      <c r="K6699" t="e">
        <f>VLOOKUP(B6699,'REGISTRO ABONOS'!$B$8:$BC$10012,54,0)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9"/>
        <v>105000</v>
      </c>
      <c r="K6700" t="e">
        <f>VLOOKUP(B6700,'REGISTRO ABONOS'!$B$8:$BC$10012,54,0)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9"/>
        <v>105000</v>
      </c>
      <c r="K6701" t="e">
        <f>VLOOKUP(B6701,'REGISTRO ABONOS'!$B$8:$BC$10012,54,0)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9"/>
        <v>105000</v>
      </c>
      <c r="K6702" t="e">
        <f>VLOOKUP(B6702,'REGISTRO ABONOS'!$B$8:$BC$10012,54,0)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9"/>
        <v>105000</v>
      </c>
      <c r="K6703" t="e">
        <f>VLOOKUP(B6703,'REGISTRO ABONOS'!$B$8:$BC$10012,54,0)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ABONOS'!$B$8:$BC$10012,54,0)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10"/>
        <v>105000</v>
      </c>
      <c r="K6705" t="e">
        <f>VLOOKUP(B6705,'REGISTRO ABONOS'!$B$8:$BC$10012,54,0)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10"/>
        <v>105000</v>
      </c>
      <c r="K6706" t="e">
        <f>VLOOKUP(B6706,'REGISTRO ABONOS'!$B$8:$BC$10012,54,0)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10"/>
        <v>105000</v>
      </c>
      <c r="K6707" t="e">
        <f>VLOOKUP(B6707,'REGISTRO ABONOS'!$B$8:$BC$10012,54,0)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10"/>
        <v>105000</v>
      </c>
      <c r="K6708" t="e">
        <f>VLOOKUP(B6708,'REGISTRO ABONOS'!$B$8:$BC$10012,54,0)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10"/>
        <v>105000</v>
      </c>
      <c r="K6709" t="e">
        <f>VLOOKUP(B6709,'REGISTRO ABONOS'!$B$8:$BC$10012,54,0)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10"/>
        <v>105000</v>
      </c>
      <c r="K6710" t="e">
        <f>VLOOKUP(B6710,'REGISTRO ABONOS'!$B$8:$BC$10012,54,0)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10"/>
        <v>105000</v>
      </c>
      <c r="K6711" t="e">
        <f>VLOOKUP(B6711,'REGISTRO ABONOS'!$B$8:$BC$10012,54,0)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10"/>
        <v>105000</v>
      </c>
      <c r="K6712" t="e">
        <f>VLOOKUP(B6712,'REGISTRO ABONOS'!$B$8:$BC$10012,54,0)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10"/>
        <v>105000</v>
      </c>
      <c r="K6713" t="e">
        <f>VLOOKUP(B6713,'REGISTRO ABONOS'!$B$8:$BC$10012,54,0)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10"/>
        <v>105000</v>
      </c>
      <c r="K6714" t="e">
        <f>VLOOKUP(B6714,'REGISTRO ABONOS'!$B$8:$BC$10012,54,0)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10"/>
        <v>105000</v>
      </c>
      <c r="K6715" t="e">
        <f>VLOOKUP(B6715,'REGISTRO ABONOS'!$B$8:$BC$10012,54,0)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10"/>
        <v>105000</v>
      </c>
      <c r="K6716" t="e">
        <f>VLOOKUP(B6716,'REGISTRO ABONOS'!$B$8:$BC$10012,54,0)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10"/>
        <v>105000</v>
      </c>
      <c r="K6717" t="e">
        <f>VLOOKUP(B6717,'REGISTRO ABONOS'!$B$8:$BC$10012,54,0)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10"/>
        <v>105000</v>
      </c>
      <c r="K6718" t="e">
        <f>VLOOKUP(B6718,'REGISTRO ABONOS'!$B$8:$BC$10012,54,0)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10"/>
        <v>105000</v>
      </c>
      <c r="K6719" t="e">
        <f>VLOOKUP(B6719,'REGISTRO ABONOS'!$B$8:$BC$10012,54,0)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10"/>
        <v>105000</v>
      </c>
      <c r="K6720" t="e">
        <f>VLOOKUP(B6720,'REGISTRO ABONOS'!$B$8:$BC$10012,54,0)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10"/>
        <v>105000</v>
      </c>
      <c r="K6721" t="e">
        <f>VLOOKUP(B6721,'REGISTRO ABONOS'!$B$8:$BC$10012,54,0)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10"/>
        <v>105000</v>
      </c>
      <c r="K6722" t="e">
        <f>VLOOKUP(B6722,'REGISTRO ABONOS'!$B$8:$BC$10012,54,0)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10"/>
        <v>105000</v>
      </c>
      <c r="K6723" t="e">
        <f>VLOOKUP(B6723,'REGISTRO ABONOS'!$B$8:$BC$10012,54,0)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10"/>
        <v>105000</v>
      </c>
      <c r="K6724" t="e">
        <f>VLOOKUP(B6724,'REGISTRO ABONOS'!$B$8:$BC$10012,54,0)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10"/>
        <v>105000</v>
      </c>
      <c r="K6725" t="e">
        <f>VLOOKUP(B6725,'REGISTRO ABONOS'!$B$8:$BC$10012,54,0)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10"/>
        <v>105000</v>
      </c>
      <c r="K6726" t="e">
        <f>VLOOKUP(B6726,'REGISTRO ABONOS'!$B$8:$BC$10012,54,0)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10"/>
        <v>105000</v>
      </c>
      <c r="K6727" t="e">
        <f>VLOOKUP(B6727,'REGISTRO ABONOS'!$B$8:$BC$10012,54,0)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10"/>
        <v>105000</v>
      </c>
      <c r="K6728" t="e">
        <f>VLOOKUP(B6728,'REGISTRO ABONOS'!$B$8:$BC$10012,54,0)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10"/>
        <v>105000</v>
      </c>
      <c r="K6729" t="e">
        <f>VLOOKUP(B6729,'REGISTRO ABONOS'!$B$8:$BC$10012,54,0)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10"/>
        <v>105000</v>
      </c>
      <c r="K6730" t="e">
        <f>VLOOKUP(B6730,'REGISTRO ABONOS'!$B$8:$BC$10012,54,0)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10"/>
        <v>105000</v>
      </c>
      <c r="K6731" t="e">
        <f>VLOOKUP(B6731,'REGISTRO ABONOS'!$B$8:$BC$10012,54,0)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10"/>
        <v>105000</v>
      </c>
      <c r="K6732" t="e">
        <f>VLOOKUP(B6732,'REGISTRO ABONOS'!$B$8:$BC$10012,54,0)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10"/>
        <v>105000</v>
      </c>
      <c r="K6733" t="e">
        <f>VLOOKUP(B6733,'REGISTRO ABONOS'!$B$8:$BC$10012,54,0)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10"/>
        <v>105000</v>
      </c>
      <c r="K6734" t="e">
        <f>VLOOKUP(B6734,'REGISTRO ABONOS'!$B$8:$BC$10012,54,0)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10"/>
        <v>105000</v>
      </c>
      <c r="K6735" t="e">
        <f>VLOOKUP(B6735,'REGISTRO ABONOS'!$B$8:$BC$10012,54,0)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10"/>
        <v>105000</v>
      </c>
      <c r="K6736" t="e">
        <f>VLOOKUP(B6736,'REGISTRO ABONOS'!$B$8:$BC$10012,54,0)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10"/>
        <v>105000</v>
      </c>
      <c r="K6737" t="e">
        <f>VLOOKUP(B6737,'REGISTRO ABONOS'!$B$8:$BC$10012,54,0)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J6738">
        <f t="shared" si="110"/>
        <v>105000</v>
      </c>
      <c r="K6738" t="e">
        <f>VLOOKUP(B6738,'REGISTRO ABONOS'!$B$8:$BC$10012,54,0)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10"/>
        <v>105000</v>
      </c>
      <c r="K6739" t="e">
        <f>VLOOKUP(B6739,'REGISTRO ABONOS'!$B$8:$BC$10012,54,0)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10"/>
        <v>105000</v>
      </c>
      <c r="K6740" t="e">
        <f>VLOOKUP(B6740,'REGISTRO ABONOS'!$B$8:$BC$10012,54,0)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10"/>
        <v>105000</v>
      </c>
      <c r="K6741" t="e">
        <f>VLOOKUP(B6741,'REGISTRO ABONOS'!$B$8:$BC$10012,54,0)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10"/>
        <v>105000</v>
      </c>
      <c r="K6742" t="e">
        <f>VLOOKUP(B6742,'REGISTRO ABONOS'!$B$8:$BC$10012,54,0)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10"/>
        <v>105000</v>
      </c>
      <c r="K6743" t="e">
        <f>VLOOKUP(B6743,'REGISTRO ABONOS'!$B$8:$BC$10012,54,0)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10"/>
        <v>105000</v>
      </c>
      <c r="K6744" t="e">
        <f>VLOOKUP(B6744,'REGISTRO ABONOS'!$B$8:$BC$10012,54,0)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10"/>
        <v>105000</v>
      </c>
      <c r="K6745" t="e">
        <f>VLOOKUP(B6745,'REGISTRO ABONOS'!$B$8:$BC$10012,54,0)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10"/>
        <v>105000</v>
      </c>
      <c r="K6746" t="e">
        <f>VLOOKUP(B6746,'REGISTRO ABONOS'!$B$8:$BC$10012,54,0)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10"/>
        <v>105000</v>
      </c>
      <c r="K6747" t="e">
        <f>VLOOKUP(B6747,'REGISTRO ABONOS'!$B$8:$BC$10012,54,0)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10"/>
        <v>105000</v>
      </c>
      <c r="K6748" t="e">
        <f>VLOOKUP(B6748,'REGISTRO ABONOS'!$B$8:$BC$10012,54,0)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10"/>
        <v>105000</v>
      </c>
      <c r="K6749" t="e">
        <f>VLOOKUP(B6749,'REGISTRO ABONOS'!$B$8:$BC$10012,54,0)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10"/>
        <v>105000</v>
      </c>
      <c r="K6750" t="e">
        <f>VLOOKUP(B6750,'REGISTRO ABONOS'!$B$8:$BC$10012,54,0)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10"/>
        <v>105000</v>
      </c>
      <c r="K6751" t="e">
        <f>VLOOKUP(B6751,'REGISTRO ABONOS'!$B$8:$BC$10012,54,0)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10"/>
        <v>105000</v>
      </c>
      <c r="K6752" t="e">
        <f>VLOOKUP(B6752,'REGISTRO ABONOS'!$B$8:$BC$10012,54,0)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10"/>
        <v>105000</v>
      </c>
      <c r="K6753" t="e">
        <f>VLOOKUP(B6753,'REGISTRO ABONOS'!$B$8:$BC$10012,54,0)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10"/>
        <v>105000</v>
      </c>
      <c r="K6754" t="e">
        <f>VLOOKUP(B6754,'REGISTRO ABONOS'!$B$8:$BC$10012,54,0)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10"/>
        <v>105000</v>
      </c>
      <c r="K6755" t="e">
        <f>VLOOKUP(B6755,'REGISTRO ABONOS'!$B$8:$BC$10012,54,0)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10"/>
        <v>105000</v>
      </c>
      <c r="K6756" t="e">
        <f>VLOOKUP(B6756,'REGISTRO ABONOS'!$B$8:$BC$10012,54,0)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10"/>
        <v>105000</v>
      </c>
      <c r="K6757" t="e">
        <f>VLOOKUP(B6757,'REGISTRO ABONOS'!$B$8:$BC$10012,54,0)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10"/>
        <v>105000</v>
      </c>
      <c r="K6758" t="e">
        <f>VLOOKUP(B6758,'REGISTRO ABONOS'!$B$8:$BC$10012,54,0)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10"/>
        <v>105000</v>
      </c>
      <c r="K6759" t="e">
        <f>VLOOKUP(B6759,'REGISTRO ABONOS'!$B$8:$BC$10012,54,0)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10"/>
        <v>105000</v>
      </c>
      <c r="K6760" t="e">
        <f>VLOOKUP(B6760,'REGISTRO ABONOS'!$B$8:$BC$10012,54,0)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10"/>
        <v>105000</v>
      </c>
      <c r="K6761" t="e">
        <f>VLOOKUP(B6761,'REGISTRO ABONOS'!$B$8:$BC$10012,54,0)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10"/>
        <v>105000</v>
      </c>
      <c r="K6762" t="e">
        <f>VLOOKUP(B6762,'REGISTRO ABONOS'!$B$8:$BC$10012,54,0)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10"/>
        <v>105000</v>
      </c>
      <c r="K6763" t="e">
        <f>VLOOKUP(B6763,'REGISTRO ABONOS'!$B$8:$BC$10012,54,0)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10"/>
        <v>105000</v>
      </c>
      <c r="K6764" t="e">
        <f>VLOOKUP(B6764,'REGISTRO ABONOS'!$B$8:$BC$10012,54,0)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10"/>
        <v>105000</v>
      </c>
      <c r="K6765" t="e">
        <f>VLOOKUP(B6765,'REGISTRO ABONOS'!$B$8:$BC$10012,54,0)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10"/>
        <v>105000</v>
      </c>
      <c r="K6766" t="e">
        <f>VLOOKUP(B6766,'REGISTRO ABONOS'!$B$8:$BC$10012,54,0)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10"/>
        <v>105000</v>
      </c>
      <c r="K6767" t="e">
        <f>VLOOKUP(B6767,'REGISTRO ABONOS'!$B$8:$BC$10012,54,0)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ABONOS'!$B$8:$BC$10012,54,0)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1"/>
        <v>105000</v>
      </c>
      <c r="K6769" t="e">
        <f>VLOOKUP(B6769,'REGISTRO ABONOS'!$B$8:$BC$10012,54,0)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1"/>
        <v>105000</v>
      </c>
      <c r="K6770" t="e">
        <f>VLOOKUP(B6770,'REGISTRO ABONOS'!$B$8:$BC$10012,54,0)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1"/>
        <v>105000</v>
      </c>
      <c r="K6771" t="e">
        <f>VLOOKUP(B6771,'REGISTRO ABONOS'!$B$8:$BC$10012,54,0)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1"/>
        <v>105000</v>
      </c>
      <c r="K6772" t="e">
        <f>VLOOKUP(B6772,'REGISTRO ABONOS'!$B$8:$BC$10012,54,0)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1"/>
        <v>105000</v>
      </c>
      <c r="K6773" t="e">
        <f>VLOOKUP(B6773,'REGISTRO ABONOS'!$B$8:$BC$10012,54,0)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1"/>
        <v>105000</v>
      </c>
      <c r="K6774" t="e">
        <f>VLOOKUP(B6774,'REGISTRO ABONOS'!$B$8:$BC$10012,54,0)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1"/>
        <v>105000</v>
      </c>
      <c r="K6775" t="e">
        <f>VLOOKUP(B6775,'REGISTRO ABONOS'!$B$8:$BC$10012,54,0)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1"/>
        <v>105000</v>
      </c>
      <c r="K6776" t="e">
        <f>VLOOKUP(B6776,'REGISTRO ABONOS'!$B$8:$BC$10012,54,0)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1"/>
        <v>105000</v>
      </c>
      <c r="K6777" t="e">
        <f>VLOOKUP(B6777,'REGISTRO ABONOS'!$B$8:$BC$10012,54,0)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1"/>
        <v>105000</v>
      </c>
      <c r="K6778" t="e">
        <f>VLOOKUP(B6778,'REGISTRO ABONOS'!$B$8:$BC$10012,54,0)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1"/>
        <v>105000</v>
      </c>
      <c r="K6779" t="e">
        <f>VLOOKUP(B6779,'REGISTRO ABONOS'!$B$8:$BC$10012,54,0)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1"/>
        <v>105000</v>
      </c>
      <c r="K6780" t="e">
        <f>VLOOKUP(B6780,'REGISTRO ABONOS'!$B$8:$BC$10012,54,0)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1"/>
        <v>105000</v>
      </c>
      <c r="K6781" t="e">
        <f>VLOOKUP(B6781,'REGISTRO ABONOS'!$B$8:$BC$10012,54,0)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1"/>
        <v>105000</v>
      </c>
      <c r="K6782" t="e">
        <f>VLOOKUP(B6782,'REGISTRO ABONOS'!$B$8:$BC$10012,54,0)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1"/>
        <v>105000</v>
      </c>
      <c r="K6783" t="e">
        <f>VLOOKUP(B6783,'REGISTRO ABONOS'!$B$8:$BC$10012,54,0)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1"/>
        <v>105000</v>
      </c>
      <c r="K6784" t="e">
        <f>VLOOKUP(B6784,'REGISTRO ABONOS'!$B$8:$BC$10012,54,0)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1"/>
        <v>105000</v>
      </c>
      <c r="K6785" t="e">
        <f>VLOOKUP(B6785,'REGISTRO ABONOS'!$B$8:$BC$10012,54,0)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1"/>
        <v>105000</v>
      </c>
      <c r="K6786" t="e">
        <f>VLOOKUP(B6786,'REGISTRO ABONOS'!$B$8:$BC$10012,54,0)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1"/>
        <v>105000</v>
      </c>
      <c r="K6787" t="e">
        <f>VLOOKUP(B6787,'REGISTRO ABONOS'!$B$8:$BC$10012,54,0)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1"/>
        <v>105000</v>
      </c>
      <c r="K6788" t="e">
        <f>VLOOKUP(B6788,'REGISTRO ABONOS'!$B$8:$BC$10012,54,0)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1"/>
        <v>105000</v>
      </c>
      <c r="K6789" t="e">
        <f>VLOOKUP(B6789,'REGISTRO ABONOS'!$B$8:$BC$10012,54,0)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1"/>
        <v>105000</v>
      </c>
      <c r="K6790" t="e">
        <f>VLOOKUP(B6790,'REGISTRO ABONOS'!$B$8:$BC$10012,54,0)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1"/>
        <v>105000</v>
      </c>
      <c r="K6791" t="e">
        <f>VLOOKUP(B6791,'REGISTRO ABONOS'!$B$8:$BC$10012,54,0)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1"/>
        <v>105000</v>
      </c>
      <c r="K6792" t="e">
        <f>VLOOKUP(B6792,'REGISTRO ABONOS'!$B$8:$BC$10012,54,0)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1"/>
        <v>105000</v>
      </c>
      <c r="K6793" t="e">
        <f>VLOOKUP(B6793,'REGISTRO ABONOS'!$B$8:$BC$10012,54,0)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1"/>
        <v>105000</v>
      </c>
      <c r="K6794" t="e">
        <f>VLOOKUP(B6794,'REGISTRO ABONOS'!$B$8:$BC$10012,54,0)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1"/>
        <v>105000</v>
      </c>
      <c r="K6795" t="e">
        <f>VLOOKUP(B6795,'REGISTRO ABONOS'!$B$8:$BC$10012,54,0)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1"/>
        <v>105000</v>
      </c>
      <c r="K6796" t="e">
        <f>VLOOKUP(B6796,'REGISTRO ABONOS'!$B$8:$BC$10012,54,0)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1"/>
        <v>105000</v>
      </c>
      <c r="K6797" t="e">
        <f>VLOOKUP(B6797,'REGISTRO ABONOS'!$B$8:$BC$10012,54,0)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1"/>
        <v>105000</v>
      </c>
      <c r="K6798" t="e">
        <f>VLOOKUP(B6798,'REGISTRO ABONOS'!$B$8:$BC$10012,54,0)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1"/>
        <v>105000</v>
      </c>
      <c r="K6799" t="e">
        <f>VLOOKUP(B6799,'REGISTRO ABONOS'!$B$8:$BC$10012,54,0)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1"/>
        <v>105000</v>
      </c>
      <c r="K6800" t="e">
        <f>VLOOKUP(B6800,'REGISTRO ABONOS'!$B$8:$BC$10012,54,0)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1"/>
        <v>105000</v>
      </c>
      <c r="K6801" t="e">
        <f>VLOOKUP(B6801,'REGISTRO ABONOS'!$B$8:$BC$10012,54,0)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1"/>
        <v>105000</v>
      </c>
      <c r="K6802" t="e">
        <f>VLOOKUP(B6802,'REGISTRO ABONOS'!$B$8:$BC$10012,54,0)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1"/>
        <v>105000</v>
      </c>
      <c r="K6803" t="e">
        <f>VLOOKUP(B6803,'REGISTRO ABONOS'!$B$8:$BC$10012,54,0)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1"/>
        <v>105000</v>
      </c>
      <c r="K6804" t="e">
        <f>VLOOKUP(B6804,'REGISTRO ABONOS'!$B$8:$BC$10012,54,0)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1"/>
        <v>105000</v>
      </c>
      <c r="K6805" t="e">
        <f>VLOOKUP(B6805,'REGISTRO ABONOS'!$B$8:$BC$10012,54,0)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1"/>
        <v>105000</v>
      </c>
      <c r="K6806" t="e">
        <f>VLOOKUP(B6806,'REGISTRO ABONOS'!$B$8:$BC$10012,54,0)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1"/>
        <v>105000</v>
      </c>
      <c r="K6807" t="e">
        <f>VLOOKUP(B6807,'REGISTRO ABONOS'!$B$8:$BC$10012,54,0)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1"/>
        <v>105000</v>
      </c>
      <c r="K6808" t="e">
        <f>VLOOKUP(B6808,'REGISTRO ABONOS'!$B$8:$BC$10012,54,0)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1"/>
        <v>105000</v>
      </c>
      <c r="K6809" t="e">
        <f>VLOOKUP(B6809,'REGISTRO ABONOS'!$B$8:$BC$10012,54,0)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1"/>
        <v>105000</v>
      </c>
      <c r="K6810" t="e">
        <f>VLOOKUP(B6810,'REGISTRO ABONOS'!$B$8:$BC$10012,54,0)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1"/>
        <v>105000</v>
      </c>
      <c r="K6811" t="e">
        <f>VLOOKUP(B6811,'REGISTRO ABONOS'!$B$8:$BC$10012,54,0)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1"/>
        <v>105000</v>
      </c>
      <c r="K6812" t="e">
        <f>VLOOKUP(B6812,'REGISTRO ABONOS'!$B$8:$BC$10012,54,0)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1"/>
        <v>105000</v>
      </c>
      <c r="K6813" t="e">
        <f>VLOOKUP(B6813,'REGISTRO ABONOS'!$B$8:$BC$10012,54,0)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1"/>
        <v>105000</v>
      </c>
      <c r="K6814" t="e">
        <f>VLOOKUP(B6814,'REGISTRO ABONOS'!$B$8:$BC$10012,54,0)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1"/>
        <v>105000</v>
      </c>
      <c r="K6815" t="e">
        <f>VLOOKUP(B6815,'REGISTRO ABONOS'!$B$8:$BC$10012,54,0)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1"/>
        <v>105000</v>
      </c>
      <c r="K6816" t="e">
        <f>VLOOKUP(B6816,'REGISTRO ABONOS'!$B$8:$BC$10012,54,0)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1"/>
        <v>105000</v>
      </c>
      <c r="K6817" t="e">
        <f>VLOOKUP(B6817,'REGISTRO ABONOS'!$B$8:$BC$10012,54,0)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1"/>
        <v>105000</v>
      </c>
      <c r="K6818" t="e">
        <f>VLOOKUP(B6818,'REGISTRO ABONOS'!$B$8:$BC$10012,54,0)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1"/>
        <v>105000</v>
      </c>
      <c r="K6819" t="e">
        <f>VLOOKUP(B6819,'REGISTRO ABONOS'!$B$8:$BC$10012,54,0)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1"/>
        <v>105000</v>
      </c>
      <c r="K6820" t="e">
        <f>VLOOKUP(B6820,'REGISTRO ABONOS'!$B$8:$BC$10012,54,0)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1"/>
        <v>105000</v>
      </c>
      <c r="K6821" t="e">
        <f>VLOOKUP(B6821,'REGISTRO ABONOS'!$B$8:$BC$10012,54,0)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1"/>
        <v>105000</v>
      </c>
      <c r="K6822" t="e">
        <f>VLOOKUP(B6822,'REGISTRO ABONOS'!$B$8:$BC$10012,54,0)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J6823">
        <f t="shared" si="111"/>
        <v>105000</v>
      </c>
      <c r="K6823" t="e">
        <f>VLOOKUP(B6823,'REGISTRO ABONOS'!$B$8:$BC$10012,54,0)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1"/>
        <v>105000</v>
      </c>
      <c r="K6824" t="e">
        <f>VLOOKUP(B6824,'REGISTRO ABONOS'!$B$8:$BC$10012,54,0)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1"/>
        <v>105000</v>
      </c>
      <c r="K6825" t="e">
        <f>VLOOKUP(B6825,'REGISTRO ABONOS'!$B$8:$BC$10012,54,0)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1"/>
        <v>105000</v>
      </c>
      <c r="K6826" t="e">
        <f>VLOOKUP(B6826,'REGISTRO ABONOS'!$B$8:$BC$10012,54,0)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1"/>
        <v>105000</v>
      </c>
      <c r="K6827" t="e">
        <f>VLOOKUP(B6827,'REGISTRO ABONOS'!$B$8:$BC$10012,54,0)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1"/>
        <v>105000</v>
      </c>
      <c r="K6828" t="e">
        <f>VLOOKUP(B6828,'REGISTRO ABONOS'!$B$8:$BC$10012,54,0)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1"/>
        <v>105000</v>
      </c>
      <c r="K6829" t="e">
        <f>VLOOKUP(B6829,'REGISTRO ABONOS'!$B$8:$BC$10012,54,0)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1"/>
        <v>105000</v>
      </c>
      <c r="K6830" t="e">
        <f>VLOOKUP(B6830,'REGISTRO ABONOS'!$B$8:$BC$10012,54,0)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1"/>
        <v>105000</v>
      </c>
      <c r="K6831" t="e">
        <f>VLOOKUP(B6831,'REGISTRO ABONOS'!$B$8:$BC$10012,54,0)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ABONOS'!$B$8:$BC$10012,54,0)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2"/>
        <v>105000</v>
      </c>
      <c r="K6833" t="e">
        <f>VLOOKUP(B6833,'REGISTRO ABONOS'!$B$8:$BC$10012,54,0)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2"/>
        <v>105000</v>
      </c>
      <c r="K6834" t="e">
        <f>VLOOKUP(B6834,'REGISTRO ABONOS'!$B$8:$BC$10012,54,0)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2"/>
        <v>105000</v>
      </c>
      <c r="K6835" t="e">
        <f>VLOOKUP(B6835,'REGISTRO ABONOS'!$B$8:$BC$10012,54,0)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J6836">
        <f t="shared" si="112"/>
        <v>105000</v>
      </c>
      <c r="K6836" t="e">
        <f>VLOOKUP(B6836,'REGISTRO ABONOS'!$B$8:$BC$10012,54,0)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2"/>
        <v>105000</v>
      </c>
      <c r="K6837" t="e">
        <f>VLOOKUP(B6837,'REGISTRO ABONOS'!$B$8:$BC$10012,54,0)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2"/>
        <v>105000</v>
      </c>
      <c r="K6838" t="e">
        <f>VLOOKUP(B6838,'REGISTRO ABONOS'!$B$8:$BC$10012,54,0)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2"/>
        <v>105000</v>
      </c>
      <c r="K6839" t="e">
        <f>VLOOKUP(B6839,'REGISTRO ABONOS'!$B$8:$BC$10012,54,0)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2"/>
        <v>105000</v>
      </c>
      <c r="K6840" t="e">
        <f>VLOOKUP(B6840,'REGISTRO ABONOS'!$B$8:$BC$10012,54,0)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2"/>
        <v>105000</v>
      </c>
      <c r="K6841" t="e">
        <f>VLOOKUP(B6841,'REGISTRO ABONOS'!$B$8:$BC$10012,54,0)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2"/>
        <v>105000</v>
      </c>
      <c r="K6842" t="e">
        <f>VLOOKUP(B6842,'REGISTRO ABONOS'!$B$8:$BC$10012,54,0)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2"/>
        <v>105000</v>
      </c>
      <c r="K6843" t="e">
        <f>VLOOKUP(B6843,'REGISTRO ABONOS'!$B$8:$BC$10012,54,0)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2"/>
        <v>105000</v>
      </c>
      <c r="K6844" t="e">
        <f>VLOOKUP(B6844,'REGISTRO ABONOS'!$B$8:$BC$10012,54,0)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2"/>
        <v>105000</v>
      </c>
      <c r="K6845" t="e">
        <f>VLOOKUP(B6845,'REGISTRO ABONOS'!$B$8:$BC$10012,54,0)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2"/>
        <v>105000</v>
      </c>
      <c r="K6846" t="e">
        <f>VLOOKUP(B6846,'REGISTRO ABONOS'!$B$8:$BC$10012,54,0)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2"/>
        <v>105000</v>
      </c>
      <c r="K6847" t="e">
        <f>VLOOKUP(B6847,'REGISTRO ABONOS'!$B$8:$BC$10012,54,0)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2"/>
        <v>105000</v>
      </c>
      <c r="K6848" t="e">
        <f>VLOOKUP(B6848,'REGISTRO ABONOS'!$B$8:$BC$10012,54,0)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2"/>
        <v>105000</v>
      </c>
      <c r="K6849" t="e">
        <f>VLOOKUP(B6849,'REGISTRO ABONOS'!$B$8:$BC$10012,54,0)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2"/>
        <v>105000</v>
      </c>
      <c r="K6850" t="e">
        <f>VLOOKUP(B6850,'REGISTRO ABONOS'!$B$8:$BC$10012,54,0)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2"/>
        <v>105000</v>
      </c>
      <c r="K6851" t="e">
        <f>VLOOKUP(B6851,'REGISTRO ABONOS'!$B$8:$BC$10012,54,0)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2"/>
        <v>105000</v>
      </c>
      <c r="K6852" t="e">
        <f>VLOOKUP(B6852,'REGISTRO ABONOS'!$B$8:$BC$10012,54,0)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2"/>
        <v>105000</v>
      </c>
      <c r="K6853" t="e">
        <f>VLOOKUP(B6853,'REGISTRO ABONOS'!$B$8:$BC$10012,54,0)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2"/>
        <v>105000</v>
      </c>
      <c r="K6854" t="e">
        <f>VLOOKUP(B6854,'REGISTRO ABONOS'!$B$8:$BC$10012,54,0)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2"/>
        <v>105000</v>
      </c>
      <c r="K6855" t="e">
        <f>VLOOKUP(B6855,'REGISTRO ABONOS'!$B$8:$BC$10012,54,0)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2"/>
        <v>105000</v>
      </c>
      <c r="K6856" t="e">
        <f>VLOOKUP(B6856,'REGISTRO ABONOS'!$B$8:$BC$10012,54,0)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2"/>
        <v>105000</v>
      </c>
      <c r="K6857" t="e">
        <f>VLOOKUP(B6857,'REGISTRO ABONOS'!$B$8:$BC$10012,54,0)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2"/>
        <v>105000</v>
      </c>
      <c r="K6858" t="e">
        <f>VLOOKUP(B6858,'REGISTRO ABONOS'!$B$8:$BC$10012,54,0)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2"/>
        <v>105000</v>
      </c>
      <c r="K6859" t="e">
        <f>VLOOKUP(B6859,'REGISTRO ABONOS'!$B$8:$BC$10012,54,0)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2"/>
        <v>105000</v>
      </c>
      <c r="K6860" t="e">
        <f>VLOOKUP(B6860,'REGISTRO ABONOS'!$B$8:$BC$10012,54,0)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2"/>
        <v>105000</v>
      </c>
      <c r="K6861" t="e">
        <f>VLOOKUP(B6861,'REGISTRO ABONOS'!$B$8:$BC$10012,54,0)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2"/>
        <v>105000</v>
      </c>
      <c r="K6862" t="e">
        <f>VLOOKUP(B6862,'REGISTRO ABONOS'!$B$8:$BC$10012,54,0)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2"/>
        <v>105000</v>
      </c>
      <c r="K6863" t="e">
        <f>VLOOKUP(B6863,'REGISTRO ABONOS'!$B$8:$BC$10012,54,0)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2"/>
        <v>105000</v>
      </c>
      <c r="K6864" t="e">
        <f>VLOOKUP(B6864,'REGISTRO ABONOS'!$B$8:$BC$10012,54,0)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2"/>
        <v>105000</v>
      </c>
      <c r="K6865" t="e">
        <f>VLOOKUP(B6865,'REGISTRO ABONOS'!$B$8:$BC$10012,54,0)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2"/>
        <v>105000</v>
      </c>
      <c r="K6866" t="e">
        <f>VLOOKUP(B6866,'REGISTRO ABONOS'!$B$8:$BC$10012,54,0)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2"/>
        <v>105000</v>
      </c>
      <c r="K6867" t="e">
        <f>VLOOKUP(B6867,'REGISTRO ABONOS'!$B$8:$BC$10012,54,0)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2"/>
        <v>105000</v>
      </c>
      <c r="K6868" t="e">
        <f>VLOOKUP(B6868,'REGISTRO ABONOS'!$B$8:$BC$10012,54,0)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2"/>
        <v>105000</v>
      </c>
      <c r="K6869" t="e">
        <f>VLOOKUP(B6869,'REGISTRO ABONOS'!$B$8:$BC$10012,54,0)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2"/>
        <v>105000</v>
      </c>
      <c r="K6870" t="e">
        <f>VLOOKUP(B6870,'REGISTRO ABONOS'!$B$8:$BC$10012,54,0)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2"/>
        <v>105000</v>
      </c>
      <c r="K6871" t="e">
        <f>VLOOKUP(B6871,'REGISTRO ABONOS'!$B$8:$BC$10012,54,0)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2"/>
        <v>105000</v>
      </c>
      <c r="K6872" t="e">
        <f>VLOOKUP(B6872,'REGISTRO ABONOS'!$B$8:$BC$10012,54,0)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2"/>
        <v>105000</v>
      </c>
      <c r="K6873" t="e">
        <f>VLOOKUP(B6873,'REGISTRO ABONOS'!$B$8:$BC$10012,54,0)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2"/>
        <v>105000</v>
      </c>
      <c r="K6874" t="e">
        <f>VLOOKUP(B6874,'REGISTRO ABONOS'!$B$8:$BC$10012,54,0)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2"/>
        <v>105000</v>
      </c>
      <c r="K6875" t="e">
        <f>VLOOKUP(B6875,'REGISTRO ABONOS'!$B$8:$BC$10012,54,0)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2"/>
        <v>105000</v>
      </c>
      <c r="K6876" t="e">
        <f>VLOOKUP(B6876,'REGISTRO ABONOS'!$B$8:$BC$10012,54,0)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2"/>
        <v>105000</v>
      </c>
      <c r="K6877" t="e">
        <f>VLOOKUP(B6877,'REGISTRO ABONOS'!$B$8:$BC$10012,54,0)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2"/>
        <v>105000</v>
      </c>
      <c r="K6878" t="e">
        <f>VLOOKUP(B6878,'REGISTRO ABONOS'!$B$8:$BC$10012,54,0)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2"/>
        <v>105000</v>
      </c>
      <c r="K6879" t="e">
        <f>VLOOKUP(B6879,'REGISTRO ABONOS'!$B$8:$BC$10012,54,0)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2"/>
        <v>105000</v>
      </c>
      <c r="K6880" t="e">
        <f>VLOOKUP(B6880,'REGISTRO ABONOS'!$B$8:$BC$10012,54,0)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2"/>
        <v>105000</v>
      </c>
      <c r="K6881" t="e">
        <f>VLOOKUP(B6881,'REGISTRO ABONOS'!$B$8:$BC$10012,54,0)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2"/>
        <v>105000</v>
      </c>
      <c r="K6882" t="e">
        <f>VLOOKUP(B6882,'REGISTRO ABONOS'!$B$8:$BC$10012,54,0)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2"/>
        <v>105000</v>
      </c>
      <c r="K6883" t="e">
        <f>VLOOKUP(B6883,'REGISTRO ABONOS'!$B$8:$BC$10012,54,0)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2"/>
        <v>105000</v>
      </c>
      <c r="K6884" t="e">
        <f>VLOOKUP(B6884,'REGISTRO ABONOS'!$B$8:$BC$10012,54,0)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2"/>
        <v>105000</v>
      </c>
      <c r="K6885" t="e">
        <f>VLOOKUP(B6885,'REGISTRO ABONOS'!$B$8:$BC$10012,54,0)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2"/>
        <v>105000</v>
      </c>
      <c r="K6886" t="e">
        <f>VLOOKUP(B6886,'REGISTRO ABONOS'!$B$8:$BC$10012,54,0)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2"/>
        <v>105000</v>
      </c>
      <c r="K6887" t="e">
        <f>VLOOKUP(B6887,'REGISTRO ABONOS'!$B$8:$BC$10012,54,0)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2"/>
        <v>105000</v>
      </c>
      <c r="K6888" t="e">
        <f>VLOOKUP(B6888,'REGISTRO ABONOS'!$B$8:$BC$10012,54,0)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2"/>
        <v>105000</v>
      </c>
      <c r="K6889" t="e">
        <f>VLOOKUP(B6889,'REGISTRO ABONOS'!$B$8:$BC$10012,54,0)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2"/>
        <v>105000</v>
      </c>
      <c r="K6890" t="e">
        <f>VLOOKUP(B6890,'REGISTRO ABONOS'!$B$8:$BC$10012,54,0)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2"/>
        <v>105000</v>
      </c>
      <c r="K6891" t="e">
        <f>VLOOKUP(B6891,'REGISTRO ABONOS'!$B$8:$BC$10012,54,0)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2"/>
        <v>105000</v>
      </c>
      <c r="K6892" t="e">
        <f>VLOOKUP(B6892,'REGISTRO ABONOS'!$B$8:$BC$10012,54,0)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2"/>
        <v>105000</v>
      </c>
      <c r="K6893" t="e">
        <f>VLOOKUP(B6893,'REGISTRO ABONOS'!$B$8:$BC$10012,54,0)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2"/>
        <v>105000</v>
      </c>
      <c r="K6894" t="e">
        <f>VLOOKUP(B6894,'REGISTRO ABONOS'!$B$8:$BC$10012,54,0)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2"/>
        <v>105000</v>
      </c>
      <c r="K6895" t="e">
        <f>VLOOKUP(B6895,'REGISTRO ABONOS'!$B$8:$BC$10012,54,0)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ABONOS'!$B$8:$BC$10012,54,0)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3"/>
        <v>105000</v>
      </c>
      <c r="K6897" t="e">
        <f>VLOOKUP(B6897,'REGISTRO ABONOS'!$B$8:$BC$10012,54,0)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3"/>
        <v>105000</v>
      </c>
      <c r="K6898" t="e">
        <f>VLOOKUP(B6898,'REGISTRO ABONOS'!$B$8:$BC$10012,54,0)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3"/>
        <v>105000</v>
      </c>
      <c r="K6899" t="e">
        <f>VLOOKUP(B6899,'REGISTRO ABONOS'!$B$8:$BC$10012,54,0)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3"/>
        <v>105000</v>
      </c>
      <c r="K6900" t="e">
        <f>VLOOKUP(B6900,'REGISTRO ABONOS'!$B$8:$BC$10012,54,0)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3"/>
        <v>105000</v>
      </c>
      <c r="K6901" t="e">
        <f>VLOOKUP(B6901,'REGISTRO ABONOS'!$B$8:$BC$10012,54,0)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3"/>
        <v>105000</v>
      </c>
      <c r="K6902" t="e">
        <f>VLOOKUP(B6902,'REGISTRO ABONOS'!$B$8:$BC$10012,54,0)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3"/>
        <v>105000</v>
      </c>
      <c r="K6903" t="e">
        <f>VLOOKUP(B6903,'REGISTRO ABONOS'!$B$8:$BC$10012,54,0)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3"/>
        <v>105000</v>
      </c>
      <c r="K6904" t="e">
        <f>VLOOKUP(B6904,'REGISTRO ABONOS'!$B$8:$BC$10012,54,0)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3"/>
        <v>105000</v>
      </c>
      <c r="K6905" t="e">
        <f>VLOOKUP(B6905,'REGISTRO ABONOS'!$B$8:$BC$10012,54,0)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3"/>
        <v>105000</v>
      </c>
      <c r="K6906" t="e">
        <f>VLOOKUP(B6906,'REGISTRO ABONOS'!$B$8:$BC$10012,54,0)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3"/>
        <v>105000</v>
      </c>
      <c r="K6907" t="e">
        <f>VLOOKUP(B6907,'REGISTRO ABONOS'!$B$8:$BC$10012,54,0)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3"/>
        <v>105000</v>
      </c>
      <c r="K6908" t="e">
        <f>VLOOKUP(B6908,'REGISTRO ABONOS'!$B$8:$BC$10012,54,0)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3"/>
        <v>105000</v>
      </c>
      <c r="K6909" t="e">
        <f>VLOOKUP(B6909,'REGISTRO ABONOS'!$B$8:$BC$10012,54,0)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J6910">
        <f t="shared" si="113"/>
        <v>105000</v>
      </c>
      <c r="K6910" t="e">
        <f>VLOOKUP(B6910,'REGISTRO ABONOS'!$B$8:$BC$10012,54,0)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J6911">
        <f t="shared" si="113"/>
        <v>105000</v>
      </c>
      <c r="K6911" t="e">
        <f>VLOOKUP(B6911,'REGISTRO ABONOS'!$B$8:$BC$10012,54,0)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3"/>
        <v>105000</v>
      </c>
      <c r="K6912" t="e">
        <f>VLOOKUP(B6912,'REGISTRO ABONOS'!$B$8:$BC$10012,54,0)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3"/>
        <v>105000</v>
      </c>
      <c r="K6913" t="e">
        <f>VLOOKUP(B6913,'REGISTRO ABONOS'!$B$8:$BC$10012,54,0)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3"/>
        <v>105000</v>
      </c>
      <c r="K6914" t="e">
        <f>VLOOKUP(B6914,'REGISTRO ABONOS'!$B$8:$BC$10012,54,0)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3"/>
        <v>105000</v>
      </c>
      <c r="K6915" t="e">
        <f>VLOOKUP(B6915,'REGISTRO ABONOS'!$B$8:$BC$10012,54,0)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3"/>
        <v>105000</v>
      </c>
      <c r="K6916" t="e">
        <f>VLOOKUP(B6916,'REGISTRO ABONOS'!$B$8:$BC$10012,54,0)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3"/>
        <v>105000</v>
      </c>
      <c r="K6917" t="e">
        <f>VLOOKUP(B6917,'REGISTRO ABONOS'!$B$8:$BC$10012,54,0)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3"/>
        <v>105000</v>
      </c>
      <c r="K6918" t="e">
        <f>VLOOKUP(B6918,'REGISTRO ABONOS'!$B$8:$BC$10012,54,0)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3"/>
        <v>105000</v>
      </c>
      <c r="K6919" t="e">
        <f>VLOOKUP(B6919,'REGISTRO ABONOS'!$B$8:$BC$10012,54,0)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3"/>
        <v>105000</v>
      </c>
      <c r="K6920" t="e">
        <f>VLOOKUP(B6920,'REGISTRO ABONOS'!$B$8:$BC$10012,54,0)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3"/>
        <v>105000</v>
      </c>
      <c r="K6921" t="e">
        <f>VLOOKUP(B6921,'REGISTRO ABONOS'!$B$8:$BC$10012,54,0)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3"/>
        <v>105000</v>
      </c>
      <c r="K6922" t="e">
        <f>VLOOKUP(B6922,'REGISTRO ABONOS'!$B$8:$BC$10012,54,0)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3"/>
        <v>105000</v>
      </c>
      <c r="K6923" t="e">
        <f>VLOOKUP(B6923,'REGISTRO ABONOS'!$B$8:$BC$10012,54,0)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3"/>
        <v>105000</v>
      </c>
      <c r="K6924" t="e">
        <f>VLOOKUP(B6924,'REGISTRO ABONOS'!$B$8:$BC$10012,54,0)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3"/>
        <v>105000</v>
      </c>
      <c r="K6925" t="e">
        <f>VLOOKUP(B6925,'REGISTRO ABONOS'!$B$8:$BC$10012,54,0)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3"/>
        <v>105000</v>
      </c>
      <c r="K6926" t="e">
        <f>VLOOKUP(B6926,'REGISTRO ABONOS'!$B$8:$BC$10012,54,0)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3"/>
        <v>105000</v>
      </c>
      <c r="K6927" t="e">
        <f>VLOOKUP(B6927,'REGISTRO ABONOS'!$B$8:$BC$10012,54,0)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3"/>
        <v>105000</v>
      </c>
      <c r="K6928" t="e">
        <f>VLOOKUP(B6928,'REGISTRO ABONOS'!$B$8:$BC$10012,54,0)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3"/>
        <v>105000</v>
      </c>
      <c r="K6929" t="e">
        <f>VLOOKUP(B6929,'REGISTRO ABONOS'!$B$8:$BC$10012,54,0)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3"/>
        <v>105000</v>
      </c>
      <c r="K6930" t="e">
        <f>VLOOKUP(B6930,'REGISTRO ABONOS'!$B$8:$BC$10012,54,0)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3"/>
        <v>105000</v>
      </c>
      <c r="K6931" t="e">
        <f>VLOOKUP(B6931,'REGISTRO ABONOS'!$B$8:$BC$10012,54,0)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3"/>
        <v>105000</v>
      </c>
      <c r="K6932" t="e">
        <f>VLOOKUP(B6932,'REGISTRO ABONOS'!$B$8:$BC$10012,54,0)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3"/>
        <v>105000</v>
      </c>
      <c r="K6933" t="e">
        <f>VLOOKUP(B6933,'REGISTRO ABONOS'!$B$8:$BC$10012,54,0)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3"/>
        <v>105000</v>
      </c>
      <c r="K6934" t="e">
        <f>VLOOKUP(B6934,'REGISTRO ABONOS'!$B$8:$BC$10012,54,0)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3"/>
        <v>105000</v>
      </c>
      <c r="K6935" t="e">
        <f>VLOOKUP(B6935,'REGISTRO ABONOS'!$B$8:$BC$10012,54,0)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3"/>
        <v>105000</v>
      </c>
      <c r="K6936" t="e">
        <f>VLOOKUP(B6936,'REGISTRO ABONOS'!$B$8:$BC$10012,54,0)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3"/>
        <v>105000</v>
      </c>
      <c r="K6937" t="e">
        <f>VLOOKUP(B6937,'REGISTRO ABONOS'!$B$8:$BC$10012,54,0)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3"/>
        <v>105000</v>
      </c>
      <c r="K6938" t="e">
        <f>VLOOKUP(B6938,'REGISTRO ABONOS'!$B$8:$BC$10012,54,0)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3"/>
        <v>105000</v>
      </c>
      <c r="K6939" t="e">
        <f>VLOOKUP(B6939,'REGISTRO ABONOS'!$B$8:$BC$10012,54,0)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3"/>
        <v>105000</v>
      </c>
      <c r="K6940" t="e">
        <f>VLOOKUP(B6940,'REGISTRO ABONOS'!$B$8:$BC$10012,54,0)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3"/>
        <v>105000</v>
      </c>
      <c r="K6941" t="e">
        <f>VLOOKUP(B6941,'REGISTRO ABONOS'!$B$8:$BC$10012,54,0)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3"/>
        <v>105000</v>
      </c>
      <c r="K6942" t="e">
        <f>VLOOKUP(B6942,'REGISTRO ABONOS'!$B$8:$BC$10012,54,0)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3"/>
        <v>105000</v>
      </c>
      <c r="K6943" t="e">
        <f>VLOOKUP(B6943,'REGISTRO ABONOS'!$B$8:$BC$10012,54,0)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3"/>
        <v>105000</v>
      </c>
      <c r="K6944" t="e">
        <f>VLOOKUP(B6944,'REGISTRO ABONOS'!$B$8:$BC$10012,54,0)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J6945">
        <f t="shared" si="113"/>
        <v>105000</v>
      </c>
      <c r="K6945" t="e">
        <f>VLOOKUP(B6945,'REGISTRO ABONOS'!$B$8:$BC$10012,54,0)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3"/>
        <v>105000</v>
      </c>
      <c r="K6946" t="e">
        <f>VLOOKUP(B6946,'REGISTRO ABONOS'!$B$8:$BC$10012,54,0)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3"/>
        <v>105000</v>
      </c>
      <c r="K6947" t="e">
        <f>VLOOKUP(B6947,'REGISTRO ABONOS'!$B$8:$BC$10012,54,0)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3"/>
        <v>105000</v>
      </c>
      <c r="K6948" t="e">
        <f>VLOOKUP(B6948,'REGISTRO ABONOS'!$B$8:$BC$10012,54,0)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3"/>
        <v>105000</v>
      </c>
      <c r="K6949" t="e">
        <f>VLOOKUP(B6949,'REGISTRO ABONOS'!$B$8:$BC$10012,54,0)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3"/>
        <v>105000</v>
      </c>
      <c r="K6950" t="e">
        <f>VLOOKUP(B6950,'REGISTRO ABONOS'!$B$8:$BC$10012,54,0)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J6951">
        <f t="shared" si="113"/>
        <v>105000</v>
      </c>
      <c r="K6951" t="e">
        <f>VLOOKUP(B6951,'REGISTRO ABONOS'!$B$8:$BC$10012,54,0)</f>
        <v>#N/A</v>
      </c>
      <c r="L6951" t="e">
        <f>IF(Tabla26[[#This Row],[VALOR RESTANTE]]&lt;Tabla26[[#This Row],[VALOR]],"NO DISPONIBLE","DISPONIBLE")</f>
        <v>#N/A</v>
      </c>
      <c r="M6951" s="9">
        <f>COUNTIF(Tabla26[[#This Row],[VALOR RESTANTE]],0)</f>
        <v>0</v>
      </c>
    </row>
    <row r="6952" spans="2:13" x14ac:dyDescent="0.2">
      <c r="B6952" s="31">
        <v>6943</v>
      </c>
      <c r="J6952">
        <f t="shared" si="113"/>
        <v>105000</v>
      </c>
      <c r="K6952" t="e">
        <f>VLOOKUP(B6952,'REGISTRO ABONOS'!$B$8:$BC$10012,54,0)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3"/>
        <v>105000</v>
      </c>
      <c r="K6953" t="e">
        <f>VLOOKUP(B6953,'REGISTRO ABONOS'!$B$8:$BC$10012,54,0)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3"/>
        <v>105000</v>
      </c>
      <c r="K6954" t="e">
        <f>VLOOKUP(B6954,'REGISTRO ABONOS'!$B$8:$BC$10012,54,0)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3"/>
        <v>105000</v>
      </c>
      <c r="K6955" t="e">
        <f>VLOOKUP(B6955,'REGISTRO ABONOS'!$B$8:$BC$10012,54,0)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3"/>
        <v>105000</v>
      </c>
      <c r="K6956" t="e">
        <f>VLOOKUP(B6956,'REGISTRO ABONOS'!$B$8:$BC$10012,54,0)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J6957">
        <f t="shared" si="113"/>
        <v>105000</v>
      </c>
      <c r="K6957" t="e">
        <f>VLOOKUP(B6957,'REGISTRO ABONOS'!$B$8:$BC$10012,54,0)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3"/>
        <v>105000</v>
      </c>
      <c r="K6958" t="e">
        <f>VLOOKUP(B6958,'REGISTRO ABONOS'!$B$8:$BC$10012,54,0)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3"/>
        <v>105000</v>
      </c>
      <c r="K6959" t="e">
        <f>VLOOKUP(B6959,'REGISTRO ABONOS'!$B$8:$BC$10012,54,0)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ABONOS'!$B$8:$BC$10012,54,0)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4"/>
        <v>105000</v>
      </c>
      <c r="K6961" t="e">
        <f>VLOOKUP(B6961,'REGISTRO ABONOS'!$B$8:$BC$10012,54,0)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4"/>
        <v>105000</v>
      </c>
      <c r="K6962" t="e">
        <f>VLOOKUP(B6962,'REGISTRO ABONOS'!$B$8:$BC$10012,54,0)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4"/>
        <v>105000</v>
      </c>
      <c r="K6963" t="e">
        <f>VLOOKUP(B6963,'REGISTRO ABONOS'!$B$8:$BC$10012,54,0)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4"/>
        <v>105000</v>
      </c>
      <c r="K6964" t="e">
        <f>VLOOKUP(B6964,'REGISTRO ABONOS'!$B$8:$BC$10012,54,0)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4"/>
        <v>105000</v>
      </c>
      <c r="K6965" t="e">
        <f>VLOOKUP(B6965,'REGISTRO ABONOS'!$B$8:$BC$10012,54,0)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4"/>
        <v>105000</v>
      </c>
      <c r="K6966" t="e">
        <f>VLOOKUP(B6966,'REGISTRO ABONOS'!$B$8:$BC$10012,54,0)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4"/>
        <v>105000</v>
      </c>
      <c r="K6967" t="e">
        <f>VLOOKUP(B6967,'REGISTRO ABONOS'!$B$8:$BC$10012,54,0)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4"/>
        <v>105000</v>
      </c>
      <c r="K6968" t="e">
        <f>VLOOKUP(B6968,'REGISTRO ABONOS'!$B$8:$BC$10012,54,0)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4"/>
        <v>105000</v>
      </c>
      <c r="K6969" t="e">
        <f>VLOOKUP(B6969,'REGISTRO ABONOS'!$B$8:$BC$10012,54,0)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4"/>
        <v>105000</v>
      </c>
      <c r="K6970" t="e">
        <f>VLOOKUP(B6970,'REGISTRO ABONOS'!$B$8:$BC$10012,54,0)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4"/>
        <v>105000</v>
      </c>
      <c r="K6971" t="e">
        <f>VLOOKUP(B6971,'REGISTRO ABONOS'!$B$8:$BC$10012,54,0)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4"/>
        <v>105000</v>
      </c>
      <c r="K6972" t="e">
        <f>VLOOKUP(B6972,'REGISTRO ABONOS'!$B$8:$BC$10012,54,0)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4"/>
        <v>105000</v>
      </c>
      <c r="K6973" t="e">
        <f>VLOOKUP(B6973,'REGISTRO ABONOS'!$B$8:$BC$10012,54,0)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4"/>
        <v>105000</v>
      </c>
      <c r="K6974" t="e">
        <f>VLOOKUP(B6974,'REGISTRO ABONOS'!$B$8:$BC$10012,54,0)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4"/>
        <v>105000</v>
      </c>
      <c r="K6975" t="e">
        <f>VLOOKUP(B6975,'REGISTRO ABONOS'!$B$8:$BC$10012,54,0)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4"/>
        <v>105000</v>
      </c>
      <c r="K6976" t="e">
        <f>VLOOKUP(B6976,'REGISTRO ABONOS'!$B$8:$BC$10012,54,0)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4"/>
        <v>105000</v>
      </c>
      <c r="K6977" t="e">
        <f>VLOOKUP(B6977,'REGISTRO ABONOS'!$B$8:$BC$10012,54,0)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4"/>
        <v>105000</v>
      </c>
      <c r="K6978" t="e">
        <f>VLOOKUP(B6978,'REGISTRO ABONOS'!$B$8:$BC$10012,54,0)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4"/>
        <v>105000</v>
      </c>
      <c r="K6979" t="e">
        <f>VLOOKUP(B6979,'REGISTRO ABONOS'!$B$8:$BC$10012,54,0)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4"/>
        <v>105000</v>
      </c>
      <c r="K6980" t="e">
        <f>VLOOKUP(B6980,'REGISTRO ABONOS'!$B$8:$BC$10012,54,0)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4"/>
        <v>105000</v>
      </c>
      <c r="K6981" t="e">
        <f>VLOOKUP(B6981,'REGISTRO ABONOS'!$B$8:$BC$10012,54,0)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4"/>
        <v>105000</v>
      </c>
      <c r="K6982" t="e">
        <f>VLOOKUP(B6982,'REGISTRO ABONOS'!$B$8:$BC$10012,54,0)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4"/>
        <v>105000</v>
      </c>
      <c r="K6983" t="e">
        <f>VLOOKUP(B6983,'REGISTRO ABONOS'!$B$8:$BC$10012,54,0)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4"/>
        <v>105000</v>
      </c>
      <c r="K6984" t="e">
        <f>VLOOKUP(B6984,'REGISTRO ABONOS'!$B$8:$BC$10012,54,0)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4"/>
        <v>105000</v>
      </c>
      <c r="K6985" t="e">
        <f>VLOOKUP(B6985,'REGISTRO ABONOS'!$B$8:$BC$10012,54,0)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4"/>
        <v>105000</v>
      </c>
      <c r="K6986" t="e">
        <f>VLOOKUP(B6986,'REGISTRO ABONOS'!$B$8:$BC$10012,54,0)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4"/>
        <v>105000</v>
      </c>
      <c r="K6987" t="e">
        <f>VLOOKUP(B6987,'REGISTRO ABONOS'!$B$8:$BC$10012,54,0)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4"/>
        <v>105000</v>
      </c>
      <c r="K6988" t="e">
        <f>VLOOKUP(B6988,'REGISTRO ABONOS'!$B$8:$BC$10012,54,0)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4"/>
        <v>105000</v>
      </c>
      <c r="K6989" t="e">
        <f>VLOOKUP(B6989,'REGISTRO ABONOS'!$B$8:$BC$10012,54,0)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4"/>
        <v>105000</v>
      </c>
      <c r="K6990" t="e">
        <f>VLOOKUP(B6990,'REGISTRO ABONOS'!$B$8:$BC$10012,54,0)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4"/>
        <v>105000</v>
      </c>
      <c r="K6991" t="e">
        <f>VLOOKUP(B6991,'REGISTRO ABONOS'!$B$8:$BC$10012,54,0)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4"/>
        <v>105000</v>
      </c>
      <c r="K6992" t="e">
        <f>VLOOKUP(B6992,'REGISTRO ABONOS'!$B$8:$BC$10012,54,0)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4"/>
        <v>105000</v>
      </c>
      <c r="K6993" t="e">
        <f>VLOOKUP(B6993,'REGISTRO ABONOS'!$B$8:$BC$10012,54,0)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4"/>
        <v>105000</v>
      </c>
      <c r="K6994" t="e">
        <f>VLOOKUP(B6994,'REGISTRO ABONOS'!$B$8:$BC$10012,54,0)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4"/>
        <v>105000</v>
      </c>
      <c r="K6995" t="e">
        <f>VLOOKUP(B6995,'REGISTRO ABONOS'!$B$8:$BC$10012,54,0)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4"/>
        <v>105000</v>
      </c>
      <c r="K6996" t="e">
        <f>VLOOKUP(B6996,'REGISTRO ABONOS'!$B$8:$BC$10012,54,0)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4"/>
        <v>105000</v>
      </c>
      <c r="K6997" t="e">
        <f>VLOOKUP(B6997,'REGISTRO ABONOS'!$B$8:$BC$10012,54,0)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4"/>
        <v>105000</v>
      </c>
      <c r="K6998" t="e">
        <f>VLOOKUP(B6998,'REGISTRO ABONOS'!$B$8:$BC$10012,54,0)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4"/>
        <v>105000</v>
      </c>
      <c r="K6999" t="e">
        <f>VLOOKUP(B6999,'REGISTRO ABONOS'!$B$8:$BC$10012,54,0)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4"/>
        <v>105000</v>
      </c>
      <c r="K7000" t="e">
        <f>VLOOKUP(B7000,'REGISTRO ABONOS'!$B$8:$BC$10012,54,0)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4"/>
        <v>105000</v>
      </c>
      <c r="K7001" t="e">
        <f>VLOOKUP(B7001,'REGISTRO ABONOS'!$B$8:$BC$10012,54,0)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4"/>
        <v>105000</v>
      </c>
      <c r="K7002" t="e">
        <f>VLOOKUP(B7002,'REGISTRO ABONOS'!$B$8:$BC$10012,54,0)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J7003">
        <f t="shared" si="114"/>
        <v>105000</v>
      </c>
      <c r="K7003" t="e">
        <f>VLOOKUP(B7003,'REGISTRO ABONOS'!$B$8:$BC$10012,54,0)</f>
        <v>#N/A</v>
      </c>
      <c r="L7003" t="e">
        <f>IF(Tabla26[[#This Row],[VALOR RESTANTE]]&lt;Tabla26[[#This Row],[VALOR]],"NO DISPONIBLE","DISPONIBLE")</f>
        <v>#N/A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4"/>
        <v>105000</v>
      </c>
      <c r="K7004" t="e">
        <f>VLOOKUP(B7004,'REGISTRO ABONOS'!$B$8:$BC$10012,54,0)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4"/>
        <v>105000</v>
      </c>
      <c r="K7005" t="e">
        <f>VLOOKUP(B7005,'REGISTRO ABONOS'!$B$8:$BC$10012,54,0)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4"/>
        <v>105000</v>
      </c>
      <c r="K7006" t="e">
        <f>VLOOKUP(B7006,'REGISTRO ABONOS'!$B$8:$BC$10012,54,0)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4"/>
        <v>105000</v>
      </c>
      <c r="K7007" t="e">
        <f>VLOOKUP(B7007,'REGISTRO ABONOS'!$B$8:$BC$10012,54,0)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4"/>
        <v>105000</v>
      </c>
      <c r="K7008" t="e">
        <f>VLOOKUP(B7008,'REGISTRO ABONOS'!$B$8:$BC$10012,54,0)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4"/>
        <v>105000</v>
      </c>
      <c r="K7009" t="e">
        <f>VLOOKUP(B7009,'REGISTRO ABONOS'!$B$8:$BC$10012,54,0)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4"/>
        <v>105000</v>
      </c>
      <c r="K7010" t="e">
        <f>VLOOKUP(B7010,'REGISTRO ABONOS'!$B$8:$BC$10012,54,0)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4"/>
        <v>105000</v>
      </c>
      <c r="K7011" t="e">
        <f>VLOOKUP(B7011,'REGISTRO ABONOS'!$B$8:$BC$10012,54,0)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4"/>
        <v>105000</v>
      </c>
      <c r="K7012" t="e">
        <f>VLOOKUP(B7012,'REGISTRO ABONOS'!$B$8:$BC$10012,54,0)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4"/>
        <v>105000</v>
      </c>
      <c r="K7013" t="e">
        <f>VLOOKUP(B7013,'REGISTRO ABONOS'!$B$8:$BC$10012,54,0)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4"/>
        <v>105000</v>
      </c>
      <c r="K7014" t="e">
        <f>VLOOKUP(B7014,'REGISTRO ABONOS'!$B$8:$BC$10012,54,0)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4"/>
        <v>105000</v>
      </c>
      <c r="K7015" t="e">
        <f>VLOOKUP(B7015,'REGISTRO ABONOS'!$B$8:$BC$10012,54,0)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4"/>
        <v>105000</v>
      </c>
      <c r="K7016" t="e">
        <f>VLOOKUP(B7016,'REGISTRO ABONOS'!$B$8:$BC$10012,54,0)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4"/>
        <v>105000</v>
      </c>
      <c r="K7017" t="e">
        <f>VLOOKUP(B7017,'REGISTRO ABONOS'!$B$8:$BC$10012,54,0)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4"/>
        <v>105000</v>
      </c>
      <c r="K7018" t="e">
        <f>VLOOKUP(B7018,'REGISTRO ABONOS'!$B$8:$BC$10012,54,0)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4"/>
        <v>105000</v>
      </c>
      <c r="K7019" t="e">
        <f>VLOOKUP(B7019,'REGISTRO ABONOS'!$B$8:$BC$10012,54,0)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4"/>
        <v>105000</v>
      </c>
      <c r="K7020" t="e">
        <f>VLOOKUP(B7020,'REGISTRO ABONOS'!$B$8:$BC$10012,54,0)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4"/>
        <v>105000</v>
      </c>
      <c r="K7021" t="e">
        <f>VLOOKUP(B7021,'REGISTRO ABONOS'!$B$8:$BC$10012,54,0)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4"/>
        <v>105000</v>
      </c>
      <c r="K7022" t="e">
        <f>VLOOKUP(B7022,'REGISTRO ABONOS'!$B$8:$BC$10012,54,0)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4"/>
        <v>105000</v>
      </c>
      <c r="K7023" t="e">
        <f>VLOOKUP(B7023,'REGISTRO ABONOS'!$B$8:$BC$10012,54,0)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ABONOS'!$B$8:$BC$10012,54,0)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5"/>
        <v>105000</v>
      </c>
      <c r="K7025" t="e">
        <f>VLOOKUP(B7025,'REGISTRO ABONOS'!$B$8:$BC$10012,54,0)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5"/>
        <v>105000</v>
      </c>
      <c r="K7026" t="e">
        <f>VLOOKUP(B7026,'REGISTRO ABONOS'!$B$8:$BC$10012,54,0)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5"/>
        <v>105000</v>
      </c>
      <c r="K7027" t="e">
        <f>VLOOKUP(B7027,'REGISTRO ABONOS'!$B$8:$BC$10012,54,0)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5"/>
        <v>105000</v>
      </c>
      <c r="K7028" t="e">
        <f>VLOOKUP(B7028,'REGISTRO ABONOS'!$B$8:$BC$10012,54,0)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5"/>
        <v>105000</v>
      </c>
      <c r="K7029" t="e">
        <f>VLOOKUP(B7029,'REGISTRO ABONOS'!$B$8:$BC$10012,54,0)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5"/>
        <v>105000</v>
      </c>
      <c r="K7030" t="e">
        <f>VLOOKUP(B7030,'REGISTRO ABONOS'!$B$8:$BC$10012,54,0)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5"/>
        <v>105000</v>
      </c>
      <c r="K7031" t="e">
        <f>VLOOKUP(B7031,'REGISTRO ABONOS'!$B$8:$BC$10012,54,0)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5"/>
        <v>105000</v>
      </c>
      <c r="K7032" t="e">
        <f>VLOOKUP(B7032,'REGISTRO ABONOS'!$B$8:$BC$10012,54,0)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5"/>
        <v>105000</v>
      </c>
      <c r="K7033" t="e">
        <f>VLOOKUP(B7033,'REGISTRO ABONOS'!$B$8:$BC$10012,54,0)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5"/>
        <v>105000</v>
      </c>
      <c r="K7034" t="e">
        <f>VLOOKUP(B7034,'REGISTRO ABONOS'!$B$8:$BC$10012,54,0)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5"/>
        <v>105000</v>
      </c>
      <c r="K7035" t="e">
        <f>VLOOKUP(B7035,'REGISTRO ABONOS'!$B$8:$BC$10012,54,0)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5"/>
        <v>105000</v>
      </c>
      <c r="K7036" t="e">
        <f>VLOOKUP(B7036,'REGISTRO ABONOS'!$B$8:$BC$10012,54,0)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5"/>
        <v>105000</v>
      </c>
      <c r="K7037" t="e">
        <f>VLOOKUP(B7037,'REGISTRO ABONOS'!$B$8:$BC$10012,54,0)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5"/>
        <v>105000</v>
      </c>
      <c r="K7038" t="e">
        <f>VLOOKUP(B7038,'REGISTRO ABONOS'!$B$8:$BC$10012,54,0)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5"/>
        <v>105000</v>
      </c>
      <c r="K7039" t="e">
        <f>VLOOKUP(B7039,'REGISTRO ABONOS'!$B$8:$BC$10012,54,0)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5"/>
        <v>105000</v>
      </c>
      <c r="K7040" t="e">
        <f>VLOOKUP(B7040,'REGISTRO ABONOS'!$B$8:$BC$10012,54,0)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5"/>
        <v>105000</v>
      </c>
      <c r="K7041" t="e">
        <f>VLOOKUP(B7041,'REGISTRO ABONOS'!$B$8:$BC$10012,54,0)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5"/>
        <v>105000</v>
      </c>
      <c r="K7042" t="e">
        <f>VLOOKUP(B7042,'REGISTRO ABONOS'!$B$8:$BC$10012,54,0)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5"/>
        <v>105000</v>
      </c>
      <c r="K7043" t="e">
        <f>VLOOKUP(B7043,'REGISTRO ABONOS'!$B$8:$BC$10012,54,0)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5"/>
        <v>105000</v>
      </c>
      <c r="K7044" t="e">
        <f>VLOOKUP(B7044,'REGISTRO ABONOS'!$B$8:$BC$10012,54,0)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5"/>
        <v>105000</v>
      </c>
      <c r="K7045" t="e">
        <f>VLOOKUP(B7045,'REGISTRO ABONOS'!$B$8:$BC$10012,54,0)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5"/>
        <v>105000</v>
      </c>
      <c r="K7046" t="e">
        <f>VLOOKUP(B7046,'REGISTRO ABONOS'!$B$8:$BC$10012,54,0)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5"/>
        <v>105000</v>
      </c>
      <c r="K7047" t="e">
        <f>VLOOKUP(B7047,'REGISTRO ABONOS'!$B$8:$BC$10012,54,0)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5"/>
        <v>105000</v>
      </c>
      <c r="K7048" t="e">
        <f>VLOOKUP(B7048,'REGISTRO ABONOS'!$B$8:$BC$10012,54,0)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5"/>
        <v>105000</v>
      </c>
      <c r="K7049" t="e">
        <f>VLOOKUP(B7049,'REGISTRO ABONOS'!$B$8:$BC$10012,54,0)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5"/>
        <v>105000</v>
      </c>
      <c r="K7050" t="e">
        <f>VLOOKUP(B7050,'REGISTRO ABONOS'!$B$8:$BC$10012,54,0)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5"/>
        <v>105000</v>
      </c>
      <c r="K7051" t="e">
        <f>VLOOKUP(B7051,'REGISTRO ABONOS'!$B$8:$BC$10012,54,0)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5"/>
        <v>105000</v>
      </c>
      <c r="K7052" t="e">
        <f>VLOOKUP(B7052,'REGISTRO ABONOS'!$B$8:$BC$10012,54,0)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5"/>
        <v>105000</v>
      </c>
      <c r="K7053" t="e">
        <f>VLOOKUP(B7053,'REGISTRO ABONOS'!$B$8:$BC$10012,54,0)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5"/>
        <v>105000</v>
      </c>
      <c r="K7054" t="e">
        <f>VLOOKUP(B7054,'REGISTRO ABONOS'!$B$8:$BC$10012,54,0)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5"/>
        <v>105000</v>
      </c>
      <c r="K7055" t="e">
        <f>VLOOKUP(B7055,'REGISTRO ABONOS'!$B$8:$BC$10012,54,0)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5"/>
        <v>105000</v>
      </c>
      <c r="K7056" t="e">
        <f>VLOOKUP(B7056,'REGISTRO ABONOS'!$B$8:$BC$10012,54,0)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J7057">
        <f t="shared" si="115"/>
        <v>105000</v>
      </c>
      <c r="K7057" t="e">
        <f>VLOOKUP(B7057,'REGISTRO ABONOS'!$B$8:$BC$10012,54,0)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5"/>
        <v>105000</v>
      </c>
      <c r="K7058" t="e">
        <f>VLOOKUP(B7058,'REGISTRO ABONOS'!$B$8:$BC$10012,54,0)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5"/>
        <v>105000</v>
      </c>
      <c r="K7059" t="e">
        <f>VLOOKUP(B7059,'REGISTRO ABONOS'!$B$8:$BC$10012,54,0)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5"/>
        <v>105000</v>
      </c>
      <c r="K7060" t="e">
        <f>VLOOKUP(B7060,'REGISTRO ABONOS'!$B$8:$BC$10012,54,0)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5"/>
        <v>105000</v>
      </c>
      <c r="K7061" t="e">
        <f>VLOOKUP(B7061,'REGISTRO ABONOS'!$B$8:$BC$10012,54,0)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5"/>
        <v>105000</v>
      </c>
      <c r="K7062" t="e">
        <f>VLOOKUP(B7062,'REGISTRO ABONOS'!$B$8:$BC$10012,54,0)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5"/>
        <v>105000</v>
      </c>
      <c r="K7063" t="e">
        <f>VLOOKUP(B7063,'REGISTRO ABONOS'!$B$8:$BC$10012,54,0)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5"/>
        <v>105000</v>
      </c>
      <c r="K7064" t="e">
        <f>VLOOKUP(B7064,'REGISTRO ABONOS'!$B$8:$BC$10012,54,0)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5"/>
        <v>105000</v>
      </c>
      <c r="K7065" t="e">
        <f>VLOOKUP(B7065,'REGISTRO ABONOS'!$B$8:$BC$10012,54,0)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5"/>
        <v>105000</v>
      </c>
      <c r="K7066" t="e">
        <f>VLOOKUP(B7066,'REGISTRO ABONOS'!$B$8:$BC$10012,54,0)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5"/>
        <v>105000</v>
      </c>
      <c r="K7067" t="e">
        <f>VLOOKUP(B7067,'REGISTRO ABONOS'!$B$8:$BC$10012,54,0)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5"/>
        <v>105000</v>
      </c>
      <c r="K7068" t="e">
        <f>VLOOKUP(B7068,'REGISTRO ABONOS'!$B$8:$BC$10012,54,0)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5"/>
        <v>105000</v>
      </c>
      <c r="K7069" t="e">
        <f>VLOOKUP(B7069,'REGISTRO ABONOS'!$B$8:$BC$10012,54,0)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5"/>
        <v>105000</v>
      </c>
      <c r="K7070" t="e">
        <f>VLOOKUP(B7070,'REGISTRO ABONOS'!$B$8:$BC$10012,54,0)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5"/>
        <v>105000</v>
      </c>
      <c r="K7071" t="e">
        <f>VLOOKUP(B7071,'REGISTRO ABONOS'!$B$8:$BC$10012,54,0)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5"/>
        <v>105000</v>
      </c>
      <c r="K7072" t="e">
        <f>VLOOKUP(B7072,'REGISTRO ABONOS'!$B$8:$BC$10012,54,0)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5"/>
        <v>105000</v>
      </c>
      <c r="K7073" t="e">
        <f>VLOOKUP(B7073,'REGISTRO ABONOS'!$B$8:$BC$10012,54,0)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5"/>
        <v>105000</v>
      </c>
      <c r="K7074" t="e">
        <f>VLOOKUP(B7074,'REGISTRO ABONOS'!$B$8:$BC$10012,54,0)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5"/>
        <v>105000</v>
      </c>
      <c r="K7075" t="e">
        <f>VLOOKUP(B7075,'REGISTRO ABONOS'!$B$8:$BC$10012,54,0)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5"/>
        <v>105000</v>
      </c>
      <c r="K7076" t="e">
        <f>VLOOKUP(B7076,'REGISTRO ABONOS'!$B$8:$BC$10012,54,0)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5"/>
        <v>105000</v>
      </c>
      <c r="K7077" t="e">
        <f>VLOOKUP(B7077,'REGISTRO ABONOS'!$B$8:$BC$10012,54,0)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5"/>
        <v>105000</v>
      </c>
      <c r="K7078" t="e">
        <f>VLOOKUP(B7078,'REGISTRO ABONOS'!$B$8:$BC$10012,54,0)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5"/>
        <v>105000</v>
      </c>
      <c r="K7079" t="e">
        <f>VLOOKUP(B7079,'REGISTRO ABONOS'!$B$8:$BC$10012,54,0)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5"/>
        <v>105000</v>
      </c>
      <c r="K7080" t="e">
        <f>VLOOKUP(B7080,'REGISTRO ABONOS'!$B$8:$BC$10012,54,0)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5"/>
        <v>105000</v>
      </c>
      <c r="K7081" t="e">
        <f>VLOOKUP(B7081,'REGISTRO ABONOS'!$B$8:$BC$10012,54,0)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5"/>
        <v>105000</v>
      </c>
      <c r="K7082" t="e">
        <f>VLOOKUP(B7082,'REGISTRO ABONOS'!$B$8:$BC$10012,54,0)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5"/>
        <v>105000</v>
      </c>
      <c r="K7083" t="e">
        <f>VLOOKUP(B7083,'REGISTRO ABONOS'!$B$8:$BC$10012,54,0)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5"/>
        <v>105000</v>
      </c>
      <c r="K7084" t="e">
        <f>VLOOKUP(B7084,'REGISTRO ABONOS'!$B$8:$BC$10012,54,0)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5"/>
        <v>105000</v>
      </c>
      <c r="K7085" t="e">
        <f>VLOOKUP(B7085,'REGISTRO ABONOS'!$B$8:$BC$10012,54,0)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5"/>
        <v>105000</v>
      </c>
      <c r="K7086" t="e">
        <f>VLOOKUP(B7086,'REGISTRO ABONOS'!$B$8:$BC$10012,54,0)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5"/>
        <v>105000</v>
      </c>
      <c r="K7087" t="e">
        <f>VLOOKUP(B7087,'REGISTRO ABONOS'!$B$8:$BC$10012,54,0)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ABONOS'!$B$8:$BC$10012,54,0)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6"/>
        <v>105000</v>
      </c>
      <c r="K7089" t="e">
        <f>VLOOKUP(B7089,'REGISTRO ABONOS'!$B$8:$BC$10012,54,0)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6"/>
        <v>105000</v>
      </c>
      <c r="K7090" t="e">
        <f>VLOOKUP(B7090,'REGISTRO ABONOS'!$B$8:$BC$10012,54,0)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6"/>
        <v>105000</v>
      </c>
      <c r="K7091" t="e">
        <f>VLOOKUP(B7091,'REGISTRO ABONOS'!$B$8:$BC$10012,54,0)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6"/>
        <v>105000</v>
      </c>
      <c r="K7092" t="e">
        <f>VLOOKUP(B7092,'REGISTRO ABONOS'!$B$8:$BC$10012,54,0)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6"/>
        <v>105000</v>
      </c>
      <c r="K7093" t="e">
        <f>VLOOKUP(B7093,'REGISTRO ABONOS'!$B$8:$BC$10012,54,0)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6"/>
        <v>105000</v>
      </c>
      <c r="K7094" t="e">
        <f>VLOOKUP(B7094,'REGISTRO ABONOS'!$B$8:$BC$10012,54,0)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6"/>
        <v>105000</v>
      </c>
      <c r="K7095" t="e">
        <f>VLOOKUP(B7095,'REGISTRO ABONOS'!$B$8:$BC$10012,54,0)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6"/>
        <v>105000</v>
      </c>
      <c r="K7096" t="e">
        <f>VLOOKUP(B7096,'REGISTRO ABONOS'!$B$8:$BC$10012,54,0)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6"/>
        <v>105000</v>
      </c>
      <c r="K7097" t="e">
        <f>VLOOKUP(B7097,'REGISTRO ABONOS'!$B$8:$BC$10012,54,0)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6"/>
        <v>105000</v>
      </c>
      <c r="K7098" t="e">
        <f>VLOOKUP(B7098,'REGISTRO ABONOS'!$B$8:$BC$10012,54,0)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6"/>
        <v>105000</v>
      </c>
      <c r="K7099" t="e">
        <f>VLOOKUP(B7099,'REGISTRO ABONOS'!$B$8:$BC$10012,54,0)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6"/>
        <v>105000</v>
      </c>
      <c r="K7100" t="e">
        <f>VLOOKUP(B7100,'REGISTRO ABONOS'!$B$8:$BC$10012,54,0)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6"/>
        <v>105000</v>
      </c>
      <c r="K7101" t="e">
        <f>VLOOKUP(B7101,'REGISTRO ABONOS'!$B$8:$BC$10012,54,0)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6"/>
        <v>105000</v>
      </c>
      <c r="K7102" t="e">
        <f>VLOOKUP(B7102,'REGISTRO ABONOS'!$B$8:$BC$10012,54,0)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6"/>
        <v>105000</v>
      </c>
      <c r="K7103" t="e">
        <f>VLOOKUP(B7103,'REGISTRO ABONOS'!$B$8:$BC$10012,54,0)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6"/>
        <v>105000</v>
      </c>
      <c r="K7104" t="e">
        <f>VLOOKUP(B7104,'REGISTRO ABONOS'!$B$8:$BC$10012,54,0)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6"/>
        <v>105000</v>
      </c>
      <c r="K7105" t="e">
        <f>VLOOKUP(B7105,'REGISTRO ABONOS'!$B$8:$BC$10012,54,0)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6"/>
        <v>105000</v>
      </c>
      <c r="K7106" t="e">
        <f>VLOOKUP(B7106,'REGISTRO ABONOS'!$B$8:$BC$10012,54,0)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6"/>
        <v>105000</v>
      </c>
      <c r="K7107" t="e">
        <f>VLOOKUP(B7107,'REGISTRO ABONOS'!$B$8:$BC$10012,54,0)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6"/>
        <v>105000</v>
      </c>
      <c r="K7108" t="e">
        <f>VLOOKUP(B7108,'REGISTRO ABONOS'!$B$8:$BC$10012,54,0)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J7109">
        <f t="shared" si="116"/>
        <v>105000</v>
      </c>
      <c r="K7109" t="e">
        <f>VLOOKUP(B7109,'REGISTRO ABONOS'!$B$8:$BC$10012,54,0)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6"/>
        <v>105000</v>
      </c>
      <c r="K7110" t="e">
        <f>VLOOKUP(B7110,'REGISTRO ABONOS'!$B$8:$BC$10012,54,0)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6"/>
        <v>105000</v>
      </c>
      <c r="K7111" t="e">
        <f>VLOOKUP(B7111,'REGISTRO ABONOS'!$B$8:$BC$10012,54,0)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6"/>
        <v>105000</v>
      </c>
      <c r="K7112" t="e">
        <f>VLOOKUP(B7112,'REGISTRO ABONOS'!$B$8:$BC$10012,54,0)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6"/>
        <v>105000</v>
      </c>
      <c r="K7113" t="e">
        <f>VLOOKUP(B7113,'REGISTRO ABONOS'!$B$8:$BC$10012,54,0)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6"/>
        <v>105000</v>
      </c>
      <c r="K7114" t="e">
        <f>VLOOKUP(B7114,'REGISTRO ABONOS'!$B$8:$BC$10012,54,0)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6"/>
        <v>105000</v>
      </c>
      <c r="K7115" t="e">
        <f>VLOOKUP(B7115,'REGISTRO ABONOS'!$B$8:$BC$10012,54,0)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6"/>
        <v>105000</v>
      </c>
      <c r="K7116" t="e">
        <f>VLOOKUP(B7116,'REGISTRO ABONOS'!$B$8:$BC$10012,54,0)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6"/>
        <v>105000</v>
      </c>
      <c r="K7117" t="e">
        <f>VLOOKUP(B7117,'REGISTRO ABONOS'!$B$8:$BC$10012,54,0)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6"/>
        <v>105000</v>
      </c>
      <c r="K7118" t="e">
        <f>VLOOKUP(B7118,'REGISTRO ABONOS'!$B$8:$BC$10012,54,0)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6"/>
        <v>105000</v>
      </c>
      <c r="K7119" t="e">
        <f>VLOOKUP(B7119,'REGISTRO ABONOS'!$B$8:$BC$10012,54,0)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6"/>
        <v>105000</v>
      </c>
      <c r="K7120" t="e">
        <f>VLOOKUP(B7120,'REGISTRO ABONOS'!$B$8:$BC$10012,54,0)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6"/>
        <v>105000</v>
      </c>
      <c r="K7121" t="e">
        <f>VLOOKUP(B7121,'REGISTRO ABONOS'!$B$8:$BC$10012,54,0)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6"/>
        <v>105000</v>
      </c>
      <c r="K7122" t="e">
        <f>VLOOKUP(B7122,'REGISTRO ABONOS'!$B$8:$BC$10012,54,0)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6"/>
        <v>105000</v>
      </c>
      <c r="K7123" t="e">
        <f>VLOOKUP(B7123,'REGISTRO ABONOS'!$B$8:$BC$10012,54,0)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6"/>
        <v>105000</v>
      </c>
      <c r="K7124" t="e">
        <f>VLOOKUP(B7124,'REGISTRO ABONOS'!$B$8:$BC$10012,54,0)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6"/>
        <v>105000</v>
      </c>
      <c r="K7125" t="e">
        <f>VLOOKUP(B7125,'REGISTRO ABONOS'!$B$8:$BC$10012,54,0)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6"/>
        <v>105000</v>
      </c>
      <c r="K7126" t="e">
        <f>VLOOKUP(B7126,'REGISTRO ABONOS'!$B$8:$BC$10012,54,0)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6"/>
        <v>105000</v>
      </c>
      <c r="K7127" t="e">
        <f>VLOOKUP(B7127,'REGISTRO ABONOS'!$B$8:$BC$10012,54,0)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6"/>
        <v>105000</v>
      </c>
      <c r="K7128" t="e">
        <f>VLOOKUP(B7128,'REGISTRO ABONOS'!$B$8:$BC$10012,54,0)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6"/>
        <v>105000</v>
      </c>
      <c r="K7129" t="e">
        <f>VLOOKUP(B7129,'REGISTRO ABONOS'!$B$8:$BC$10012,54,0)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6"/>
        <v>105000</v>
      </c>
      <c r="K7130" t="e">
        <f>VLOOKUP(B7130,'REGISTRO ABONOS'!$B$8:$BC$10012,54,0)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6"/>
        <v>105000</v>
      </c>
      <c r="K7131" t="e">
        <f>VLOOKUP(B7131,'REGISTRO ABONOS'!$B$8:$BC$10012,54,0)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J7132">
        <f t="shared" si="116"/>
        <v>105000</v>
      </c>
      <c r="K7132" t="e">
        <f>VLOOKUP(B7132,'REGISTRO ABONOS'!$B$8:$BC$10012,54,0)</f>
        <v>#N/A</v>
      </c>
      <c r="L7132" t="e">
        <f>IF(Tabla26[[#This Row],[VALOR RESTANTE]]&lt;Tabla26[[#This Row],[VALOR]],"NO DISPONIBLE","DISPONIBLE")</f>
        <v>#N/A</v>
      </c>
      <c r="M7132" s="9">
        <f>COUNTIF(Tabla26[[#This Row],[VALOR RESTANTE]],0)</f>
        <v>0</v>
      </c>
    </row>
    <row r="7133" spans="2:13" x14ac:dyDescent="0.2">
      <c r="B7133" s="31">
        <v>7124</v>
      </c>
      <c r="J7133">
        <f t="shared" si="116"/>
        <v>105000</v>
      </c>
      <c r="K7133" t="e">
        <f>VLOOKUP(B7133,'REGISTRO ABONOS'!$B$8:$BC$10012,54,0)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6"/>
        <v>105000</v>
      </c>
      <c r="K7134" t="e">
        <f>VLOOKUP(B7134,'REGISTRO ABONOS'!$B$8:$BC$10012,54,0)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6"/>
        <v>105000</v>
      </c>
      <c r="K7135" t="e">
        <f>VLOOKUP(B7135,'REGISTRO ABONOS'!$B$8:$BC$10012,54,0)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6"/>
        <v>105000</v>
      </c>
      <c r="K7136" t="e">
        <f>VLOOKUP(B7136,'REGISTRO ABONOS'!$B$8:$BC$10012,54,0)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6"/>
        <v>105000</v>
      </c>
      <c r="K7137" t="e">
        <f>VLOOKUP(B7137,'REGISTRO ABONOS'!$B$8:$BC$10012,54,0)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6"/>
        <v>105000</v>
      </c>
      <c r="K7138" t="e">
        <f>VLOOKUP(B7138,'REGISTRO ABONOS'!$B$8:$BC$10012,54,0)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6"/>
        <v>105000</v>
      </c>
      <c r="K7139" t="e">
        <f>VLOOKUP(B7139,'REGISTRO ABONOS'!$B$8:$BC$10012,54,0)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6"/>
        <v>105000</v>
      </c>
      <c r="K7140" t="e">
        <f>VLOOKUP(B7140,'REGISTRO ABONOS'!$B$8:$BC$10012,54,0)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6"/>
        <v>105000</v>
      </c>
      <c r="K7141" t="e">
        <f>VLOOKUP(B7141,'REGISTRO ABONOS'!$B$8:$BC$10012,54,0)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6"/>
        <v>105000</v>
      </c>
      <c r="K7142" t="e">
        <f>VLOOKUP(B7142,'REGISTRO ABONOS'!$B$8:$BC$10012,54,0)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6"/>
        <v>105000</v>
      </c>
      <c r="K7143" t="e">
        <f>VLOOKUP(B7143,'REGISTRO ABONOS'!$B$8:$BC$10012,54,0)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6"/>
        <v>105000</v>
      </c>
      <c r="K7144" t="e">
        <f>VLOOKUP(B7144,'REGISTRO ABONOS'!$B$8:$BC$10012,54,0)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6"/>
        <v>105000</v>
      </c>
      <c r="K7145" t="e">
        <f>VLOOKUP(B7145,'REGISTRO ABONOS'!$B$8:$BC$10012,54,0)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6"/>
        <v>105000</v>
      </c>
      <c r="K7146" t="e">
        <f>VLOOKUP(B7146,'REGISTRO ABONOS'!$B$8:$BC$10012,54,0)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6"/>
        <v>105000</v>
      </c>
      <c r="K7147" t="e">
        <f>VLOOKUP(B7147,'REGISTRO ABONOS'!$B$8:$BC$10012,54,0)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6"/>
        <v>105000</v>
      </c>
      <c r="K7148" t="e">
        <f>VLOOKUP(B7148,'REGISTRO ABONOS'!$B$8:$BC$10012,54,0)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6"/>
        <v>105000</v>
      </c>
      <c r="K7149" t="e">
        <f>VLOOKUP(B7149,'REGISTRO ABONOS'!$B$8:$BC$10012,54,0)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6"/>
        <v>105000</v>
      </c>
      <c r="K7150" t="e">
        <f>VLOOKUP(B7150,'REGISTRO ABONOS'!$B$8:$BC$10012,54,0)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6"/>
        <v>105000</v>
      </c>
      <c r="K7151" t="e">
        <f>VLOOKUP(B7151,'REGISTRO ABONOS'!$B$8:$BC$10012,54,0)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ABONOS'!$B$8:$BC$10012,54,0)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7"/>
        <v>105000</v>
      </c>
      <c r="K7153" t="e">
        <f>VLOOKUP(B7153,'REGISTRO ABONOS'!$B$8:$BC$10012,54,0)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7"/>
        <v>105000</v>
      </c>
      <c r="K7154" t="e">
        <f>VLOOKUP(B7154,'REGISTRO ABONOS'!$B$8:$BC$10012,54,0)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7"/>
        <v>105000</v>
      </c>
      <c r="K7155" t="e">
        <f>VLOOKUP(B7155,'REGISTRO ABONOS'!$B$8:$BC$10012,54,0)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7"/>
        <v>105000</v>
      </c>
      <c r="K7156" t="e">
        <f>VLOOKUP(B7156,'REGISTRO ABONOS'!$B$8:$BC$10012,54,0)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7"/>
        <v>105000</v>
      </c>
      <c r="K7157" t="e">
        <f>VLOOKUP(B7157,'REGISTRO ABONOS'!$B$8:$BC$10012,54,0)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7"/>
        <v>105000</v>
      </c>
      <c r="K7158" t="e">
        <f>VLOOKUP(B7158,'REGISTRO ABONOS'!$B$8:$BC$10012,54,0)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7"/>
        <v>105000</v>
      </c>
      <c r="K7159" t="e">
        <f>VLOOKUP(B7159,'REGISTRO ABONOS'!$B$8:$BC$10012,54,0)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7"/>
        <v>105000</v>
      </c>
      <c r="K7160" t="e">
        <f>VLOOKUP(B7160,'REGISTRO ABONOS'!$B$8:$BC$10012,54,0)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7"/>
        <v>105000</v>
      </c>
      <c r="K7161" t="e">
        <f>VLOOKUP(B7161,'REGISTRO ABONOS'!$B$8:$BC$10012,54,0)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7"/>
        <v>105000</v>
      </c>
      <c r="K7162" t="e">
        <f>VLOOKUP(B7162,'REGISTRO ABONOS'!$B$8:$BC$10012,54,0)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7"/>
        <v>105000</v>
      </c>
      <c r="K7163" t="e">
        <f>VLOOKUP(B7163,'REGISTRO ABONOS'!$B$8:$BC$10012,54,0)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7"/>
        <v>105000</v>
      </c>
      <c r="K7164" t="e">
        <f>VLOOKUP(B7164,'REGISTRO ABONOS'!$B$8:$BC$10012,54,0)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7"/>
        <v>105000</v>
      </c>
      <c r="K7165" t="e">
        <f>VLOOKUP(B7165,'REGISTRO ABONOS'!$B$8:$BC$10012,54,0)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7"/>
        <v>105000</v>
      </c>
      <c r="K7166" t="e">
        <f>VLOOKUP(B7166,'REGISTRO ABONOS'!$B$8:$BC$10012,54,0)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7"/>
        <v>105000</v>
      </c>
      <c r="K7167" t="e">
        <f>VLOOKUP(B7167,'REGISTRO ABONOS'!$B$8:$BC$10012,54,0)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7"/>
        <v>105000</v>
      </c>
      <c r="K7168" t="e">
        <f>VLOOKUP(B7168,'REGISTRO ABONOS'!$B$8:$BC$10012,54,0)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7"/>
        <v>105000</v>
      </c>
      <c r="K7169" t="e">
        <f>VLOOKUP(B7169,'REGISTRO ABONOS'!$B$8:$BC$10012,54,0)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7"/>
        <v>105000</v>
      </c>
      <c r="K7170" t="e">
        <f>VLOOKUP(B7170,'REGISTRO ABONOS'!$B$8:$BC$10012,54,0)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7"/>
        <v>105000</v>
      </c>
      <c r="K7171" t="e">
        <f>VLOOKUP(B7171,'REGISTRO ABONOS'!$B$8:$BC$10012,54,0)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7"/>
        <v>105000</v>
      </c>
      <c r="K7172" t="e">
        <f>VLOOKUP(B7172,'REGISTRO ABONOS'!$B$8:$BC$10012,54,0)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7"/>
        <v>105000</v>
      </c>
      <c r="K7173" t="e">
        <f>VLOOKUP(B7173,'REGISTRO ABONOS'!$B$8:$BC$10012,54,0)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7"/>
        <v>105000</v>
      </c>
      <c r="K7174" t="e">
        <f>VLOOKUP(B7174,'REGISTRO ABONOS'!$B$8:$BC$10012,54,0)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7"/>
        <v>105000</v>
      </c>
      <c r="K7175" t="e">
        <f>VLOOKUP(B7175,'REGISTRO ABONOS'!$B$8:$BC$10012,54,0)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7"/>
        <v>105000</v>
      </c>
      <c r="K7176" t="e">
        <f>VLOOKUP(B7176,'REGISTRO ABONOS'!$B$8:$BC$10012,54,0)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7"/>
        <v>105000</v>
      </c>
      <c r="K7177" t="e">
        <f>VLOOKUP(B7177,'REGISTRO ABONOS'!$B$8:$BC$10012,54,0)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7"/>
        <v>105000</v>
      </c>
      <c r="K7178" t="e">
        <f>VLOOKUP(B7178,'REGISTRO ABONOS'!$B$8:$BC$10012,54,0)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7"/>
        <v>105000</v>
      </c>
      <c r="K7179" t="e">
        <f>VLOOKUP(B7179,'REGISTRO ABONOS'!$B$8:$BC$10012,54,0)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7"/>
        <v>105000</v>
      </c>
      <c r="K7180" t="e">
        <f>VLOOKUP(B7180,'REGISTRO ABONOS'!$B$8:$BC$10012,54,0)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7"/>
        <v>105000</v>
      </c>
      <c r="K7181" t="e">
        <f>VLOOKUP(B7181,'REGISTRO ABONOS'!$B$8:$BC$10012,54,0)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7"/>
        <v>105000</v>
      </c>
      <c r="K7182" t="e">
        <f>VLOOKUP(B7182,'REGISTRO ABONOS'!$B$8:$BC$10012,54,0)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7"/>
        <v>105000</v>
      </c>
      <c r="K7183" t="e">
        <f>VLOOKUP(B7183,'REGISTRO ABONOS'!$B$8:$BC$10012,54,0)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7"/>
        <v>105000</v>
      </c>
      <c r="K7184" t="e">
        <f>VLOOKUP(B7184,'REGISTRO ABONOS'!$B$8:$BC$10012,54,0)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7"/>
        <v>105000</v>
      </c>
      <c r="K7185" t="e">
        <f>VLOOKUP(B7185,'REGISTRO ABONOS'!$B$8:$BC$10012,54,0)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7"/>
        <v>105000</v>
      </c>
      <c r="K7186" t="e">
        <f>VLOOKUP(B7186,'REGISTRO ABONOS'!$B$8:$BC$10012,54,0)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7"/>
        <v>105000</v>
      </c>
      <c r="K7187" t="e">
        <f>VLOOKUP(B7187,'REGISTRO ABONOS'!$B$8:$BC$10012,54,0)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7"/>
        <v>105000</v>
      </c>
      <c r="K7188" t="e">
        <f>VLOOKUP(B7188,'REGISTRO ABONOS'!$B$8:$BC$10012,54,0)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7"/>
        <v>105000</v>
      </c>
      <c r="K7189" t="e">
        <f>VLOOKUP(B7189,'REGISTRO ABONOS'!$B$8:$BC$10012,54,0)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7"/>
        <v>105000</v>
      </c>
      <c r="K7190" t="e">
        <f>VLOOKUP(B7190,'REGISTRO ABONOS'!$B$8:$BC$10012,54,0)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7"/>
        <v>105000</v>
      </c>
      <c r="K7191" t="e">
        <f>VLOOKUP(B7191,'REGISTRO ABONOS'!$B$8:$BC$10012,54,0)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7"/>
        <v>105000</v>
      </c>
      <c r="K7192" t="e">
        <f>VLOOKUP(B7192,'REGISTRO ABONOS'!$B$8:$BC$10012,54,0)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7"/>
        <v>105000</v>
      </c>
      <c r="K7193" t="e">
        <f>VLOOKUP(B7193,'REGISTRO ABONOS'!$B$8:$BC$10012,54,0)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7"/>
        <v>105000</v>
      </c>
      <c r="K7194" t="e">
        <f>VLOOKUP(B7194,'REGISTRO ABONOS'!$B$8:$BC$10012,54,0)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7"/>
        <v>105000</v>
      </c>
      <c r="K7195" t="e">
        <f>VLOOKUP(B7195,'REGISTRO ABONOS'!$B$8:$BC$10012,54,0)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7"/>
        <v>105000</v>
      </c>
      <c r="K7196" t="e">
        <f>VLOOKUP(B7196,'REGISTRO ABONOS'!$B$8:$BC$10012,54,0)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7"/>
        <v>105000</v>
      </c>
      <c r="K7197" t="e">
        <f>VLOOKUP(B7197,'REGISTRO ABONOS'!$B$8:$BC$10012,54,0)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7"/>
        <v>105000</v>
      </c>
      <c r="K7198" t="e">
        <f>VLOOKUP(B7198,'REGISTRO ABONOS'!$B$8:$BC$10012,54,0)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7"/>
        <v>105000</v>
      </c>
      <c r="K7199" t="e">
        <f>VLOOKUP(B7199,'REGISTRO ABONOS'!$B$8:$BC$10012,54,0)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7"/>
        <v>105000</v>
      </c>
      <c r="K7200" t="e">
        <f>VLOOKUP(B7200,'REGISTRO ABONOS'!$B$8:$BC$10012,54,0)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7"/>
        <v>105000</v>
      </c>
      <c r="K7201" t="e">
        <f>VLOOKUP(B7201,'REGISTRO ABONOS'!$B$8:$BC$10012,54,0)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7"/>
        <v>105000</v>
      </c>
      <c r="K7202" t="e">
        <f>VLOOKUP(B7202,'REGISTRO ABONOS'!$B$8:$BC$10012,54,0)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7"/>
        <v>105000</v>
      </c>
      <c r="K7203" t="e">
        <f>VLOOKUP(B7203,'REGISTRO ABONOS'!$B$8:$BC$10012,54,0)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7"/>
        <v>105000</v>
      </c>
      <c r="K7204" t="e">
        <f>VLOOKUP(B7204,'REGISTRO ABONOS'!$B$8:$BC$10012,54,0)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7"/>
        <v>105000</v>
      </c>
      <c r="K7205" t="e">
        <f>VLOOKUP(B7205,'REGISTRO ABONOS'!$B$8:$BC$10012,54,0)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7"/>
        <v>105000</v>
      </c>
      <c r="K7206" t="e">
        <f>VLOOKUP(B7206,'REGISTRO ABONOS'!$B$8:$BC$10012,54,0)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7"/>
        <v>105000</v>
      </c>
      <c r="K7207" t="e">
        <f>VLOOKUP(B7207,'REGISTRO ABONOS'!$B$8:$BC$10012,54,0)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7"/>
        <v>105000</v>
      </c>
      <c r="K7208" t="e">
        <f>VLOOKUP(B7208,'REGISTRO ABONOS'!$B$8:$BC$10012,54,0)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7"/>
        <v>105000</v>
      </c>
      <c r="K7209" t="e">
        <f>VLOOKUP(B7209,'REGISTRO ABONOS'!$B$8:$BC$10012,54,0)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7"/>
        <v>105000</v>
      </c>
      <c r="K7210" t="e">
        <f>VLOOKUP(B7210,'REGISTRO ABONOS'!$B$8:$BC$10012,54,0)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7"/>
        <v>105000</v>
      </c>
      <c r="K7211" t="e">
        <f>VLOOKUP(B7211,'REGISTRO ABONOS'!$B$8:$BC$10012,54,0)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7"/>
        <v>105000</v>
      </c>
      <c r="K7212" t="e">
        <f>VLOOKUP(B7212,'REGISTRO ABONOS'!$B$8:$BC$10012,54,0)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7"/>
        <v>105000</v>
      </c>
      <c r="K7213" t="e">
        <f>VLOOKUP(B7213,'REGISTRO ABONOS'!$B$8:$BC$10012,54,0)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7"/>
        <v>105000</v>
      </c>
      <c r="K7214" t="e">
        <f>VLOOKUP(B7214,'REGISTRO ABONOS'!$B$8:$BC$10012,54,0)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7"/>
        <v>105000</v>
      </c>
      <c r="K7215" t="e">
        <f>VLOOKUP(B7215,'REGISTRO ABONOS'!$B$8:$BC$10012,54,0)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ABONOS'!$B$8:$BC$10012,54,0)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8"/>
        <v>105000</v>
      </c>
      <c r="K7217" t="e">
        <f>VLOOKUP(B7217,'REGISTRO ABONOS'!$B$8:$BC$10012,54,0)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8"/>
        <v>105000</v>
      </c>
      <c r="K7218" t="e">
        <f>VLOOKUP(B7218,'REGISTRO ABONOS'!$B$8:$BC$10012,54,0)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8"/>
        <v>105000</v>
      </c>
      <c r="K7219" t="e">
        <f>VLOOKUP(B7219,'REGISTRO ABONOS'!$B$8:$BC$10012,54,0)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8"/>
        <v>105000</v>
      </c>
      <c r="K7220" t="e">
        <f>VLOOKUP(B7220,'REGISTRO ABONOS'!$B$8:$BC$10012,54,0)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8"/>
        <v>105000</v>
      </c>
      <c r="K7221" t="e">
        <f>VLOOKUP(B7221,'REGISTRO ABONOS'!$B$8:$BC$10012,54,0)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8"/>
        <v>105000</v>
      </c>
      <c r="K7222" t="e">
        <f>VLOOKUP(B7222,'REGISTRO ABONOS'!$B$8:$BC$10012,54,0)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8"/>
        <v>105000</v>
      </c>
      <c r="K7223" t="e">
        <f>VLOOKUP(B7223,'REGISTRO ABONOS'!$B$8:$BC$10012,54,0)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8"/>
        <v>105000</v>
      </c>
      <c r="K7224" t="e">
        <f>VLOOKUP(B7224,'REGISTRO ABONOS'!$B$8:$BC$10012,54,0)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8"/>
        <v>105000</v>
      </c>
      <c r="K7225" t="e">
        <f>VLOOKUP(B7225,'REGISTRO ABONOS'!$B$8:$BC$10012,54,0)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8"/>
        <v>105000</v>
      </c>
      <c r="K7226" t="e">
        <f>VLOOKUP(B7226,'REGISTRO ABONOS'!$B$8:$BC$10012,54,0)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8"/>
        <v>105000</v>
      </c>
      <c r="K7227" t="e">
        <f>VLOOKUP(B7227,'REGISTRO ABONOS'!$B$8:$BC$10012,54,0)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8"/>
        <v>105000</v>
      </c>
      <c r="K7228" t="e">
        <f>VLOOKUP(B7228,'REGISTRO ABONOS'!$B$8:$BC$10012,54,0)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8"/>
        <v>105000</v>
      </c>
      <c r="K7229" t="e">
        <f>VLOOKUP(B7229,'REGISTRO ABONOS'!$B$8:$BC$10012,54,0)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8"/>
        <v>105000</v>
      </c>
      <c r="K7230" t="e">
        <f>VLOOKUP(B7230,'REGISTRO ABONOS'!$B$8:$BC$10012,54,0)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8"/>
        <v>105000</v>
      </c>
      <c r="K7231" t="e">
        <f>VLOOKUP(B7231,'REGISTRO ABONOS'!$B$8:$BC$10012,54,0)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8"/>
        <v>105000</v>
      </c>
      <c r="K7232" t="e">
        <f>VLOOKUP(B7232,'REGISTRO ABONOS'!$B$8:$BC$10012,54,0)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8"/>
        <v>105000</v>
      </c>
      <c r="K7233" t="e">
        <f>VLOOKUP(B7233,'REGISTRO ABONOS'!$B$8:$BC$10012,54,0)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8"/>
        <v>105000</v>
      </c>
      <c r="K7234" t="e">
        <f>VLOOKUP(B7234,'REGISTRO ABONOS'!$B$8:$BC$10012,54,0)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8"/>
        <v>105000</v>
      </c>
      <c r="K7235" t="e">
        <f>VLOOKUP(B7235,'REGISTRO ABONOS'!$B$8:$BC$10012,54,0)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8"/>
        <v>105000</v>
      </c>
      <c r="K7236" t="e">
        <f>VLOOKUP(B7236,'REGISTRO ABONOS'!$B$8:$BC$10012,54,0)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8"/>
        <v>105000</v>
      </c>
      <c r="K7237" t="e">
        <f>VLOOKUP(B7237,'REGISTRO ABONOS'!$B$8:$BC$10012,54,0)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8"/>
        <v>105000</v>
      </c>
      <c r="K7238" t="e">
        <f>VLOOKUP(B7238,'REGISTRO ABONOS'!$B$8:$BC$10012,54,0)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8"/>
        <v>105000</v>
      </c>
      <c r="K7239" t="e">
        <f>VLOOKUP(B7239,'REGISTRO ABONOS'!$B$8:$BC$10012,54,0)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8"/>
        <v>105000</v>
      </c>
      <c r="K7240" t="e">
        <f>VLOOKUP(B7240,'REGISTRO ABONOS'!$B$8:$BC$10012,54,0)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8"/>
        <v>105000</v>
      </c>
      <c r="K7241" t="e">
        <f>VLOOKUP(B7241,'REGISTRO ABONOS'!$B$8:$BC$10012,54,0)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8"/>
        <v>105000</v>
      </c>
      <c r="K7242" t="e">
        <f>VLOOKUP(B7242,'REGISTRO ABONOS'!$B$8:$BC$10012,54,0)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8"/>
        <v>105000</v>
      </c>
      <c r="K7243" t="e">
        <f>VLOOKUP(B7243,'REGISTRO ABONOS'!$B$8:$BC$10012,54,0)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8"/>
        <v>105000</v>
      </c>
      <c r="K7244" t="e">
        <f>VLOOKUP(B7244,'REGISTRO ABONOS'!$B$8:$BC$10012,54,0)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8"/>
        <v>105000</v>
      </c>
      <c r="K7245" t="e">
        <f>VLOOKUP(B7245,'REGISTRO ABONOS'!$B$8:$BC$10012,54,0)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8"/>
        <v>105000</v>
      </c>
      <c r="K7246" t="e">
        <f>VLOOKUP(B7246,'REGISTRO ABONOS'!$B$8:$BC$10012,54,0)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8"/>
        <v>105000</v>
      </c>
      <c r="K7247" t="e">
        <f>VLOOKUP(B7247,'REGISTRO ABONOS'!$B$8:$BC$10012,54,0)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8"/>
        <v>105000</v>
      </c>
      <c r="K7248" t="e">
        <f>VLOOKUP(B7248,'REGISTRO ABONOS'!$B$8:$BC$10012,54,0)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8"/>
        <v>105000</v>
      </c>
      <c r="K7249" t="e">
        <f>VLOOKUP(B7249,'REGISTRO ABONOS'!$B$8:$BC$10012,54,0)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8"/>
        <v>105000</v>
      </c>
      <c r="K7250" t="e">
        <f>VLOOKUP(B7250,'REGISTRO ABONOS'!$B$8:$BC$10012,54,0)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8"/>
        <v>105000</v>
      </c>
      <c r="K7251" t="e">
        <f>VLOOKUP(B7251,'REGISTRO ABONOS'!$B$8:$BC$10012,54,0)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8"/>
        <v>105000</v>
      </c>
      <c r="K7252" t="e">
        <f>VLOOKUP(B7252,'REGISTRO ABONOS'!$B$8:$BC$10012,54,0)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8"/>
        <v>105000</v>
      </c>
      <c r="K7253" t="e">
        <f>VLOOKUP(B7253,'REGISTRO ABONOS'!$B$8:$BC$10012,54,0)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8"/>
        <v>105000</v>
      </c>
      <c r="K7254" t="e">
        <f>VLOOKUP(B7254,'REGISTRO ABONOS'!$B$8:$BC$10012,54,0)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8"/>
        <v>105000</v>
      </c>
      <c r="K7255" t="e">
        <f>VLOOKUP(B7255,'REGISTRO ABONOS'!$B$8:$BC$10012,54,0)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8"/>
        <v>105000</v>
      </c>
      <c r="K7256" t="e">
        <f>VLOOKUP(B7256,'REGISTRO ABONOS'!$B$8:$BC$10012,54,0)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8"/>
        <v>105000</v>
      </c>
      <c r="K7257" t="e">
        <f>VLOOKUP(B7257,'REGISTRO ABONOS'!$B$8:$BC$10012,54,0)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8"/>
        <v>105000</v>
      </c>
      <c r="K7258" t="e">
        <f>VLOOKUP(B7258,'REGISTRO ABONOS'!$B$8:$BC$10012,54,0)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8"/>
        <v>105000</v>
      </c>
      <c r="K7259" t="e">
        <f>VLOOKUP(B7259,'REGISTRO ABONOS'!$B$8:$BC$10012,54,0)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8"/>
        <v>105000</v>
      </c>
      <c r="K7260" t="e">
        <f>VLOOKUP(B7260,'REGISTRO ABONOS'!$B$8:$BC$10012,54,0)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8"/>
        <v>105000</v>
      </c>
      <c r="K7261" t="e">
        <f>VLOOKUP(B7261,'REGISTRO ABONOS'!$B$8:$BC$10012,54,0)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8"/>
        <v>105000</v>
      </c>
      <c r="K7262" t="e">
        <f>VLOOKUP(B7262,'REGISTRO ABONOS'!$B$8:$BC$10012,54,0)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8"/>
        <v>105000</v>
      </c>
      <c r="K7263" t="e">
        <f>VLOOKUP(B7263,'REGISTRO ABONOS'!$B$8:$BC$10012,54,0)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8"/>
        <v>105000</v>
      </c>
      <c r="K7264" t="e">
        <f>VLOOKUP(B7264,'REGISTRO ABONOS'!$B$8:$BC$10012,54,0)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8"/>
        <v>105000</v>
      </c>
      <c r="K7265" t="e">
        <f>VLOOKUP(B7265,'REGISTRO ABONOS'!$B$8:$BC$10012,54,0)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J7266">
        <f t="shared" si="118"/>
        <v>105000</v>
      </c>
      <c r="K7266" t="e">
        <f>VLOOKUP(B7266,'REGISTRO ABONOS'!$B$8:$BC$10012,54,0)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8"/>
        <v>105000</v>
      </c>
      <c r="K7267" t="e">
        <f>VLOOKUP(B7267,'REGISTRO ABONOS'!$B$8:$BC$10012,54,0)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8"/>
        <v>105000</v>
      </c>
      <c r="K7268" t="e">
        <f>VLOOKUP(B7268,'REGISTRO ABONOS'!$B$8:$BC$10012,54,0)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8"/>
        <v>105000</v>
      </c>
      <c r="K7269" t="e">
        <f>VLOOKUP(B7269,'REGISTRO ABONOS'!$B$8:$BC$10012,54,0)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8"/>
        <v>105000</v>
      </c>
      <c r="K7270" t="e">
        <f>VLOOKUP(B7270,'REGISTRO ABONOS'!$B$8:$BC$10012,54,0)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8"/>
        <v>105000</v>
      </c>
      <c r="K7271" t="e">
        <f>VLOOKUP(B7271,'REGISTRO ABONOS'!$B$8:$BC$10012,54,0)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8"/>
        <v>105000</v>
      </c>
      <c r="K7272" t="e">
        <f>VLOOKUP(B7272,'REGISTRO ABONOS'!$B$8:$BC$10012,54,0)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8"/>
        <v>105000</v>
      </c>
      <c r="K7273" t="e">
        <f>VLOOKUP(B7273,'REGISTRO ABONOS'!$B$8:$BC$10012,54,0)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8"/>
        <v>105000</v>
      </c>
      <c r="K7274" t="e">
        <f>VLOOKUP(B7274,'REGISTRO ABONOS'!$B$8:$BC$10012,54,0)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8"/>
        <v>105000</v>
      </c>
      <c r="K7275" t="e">
        <f>VLOOKUP(B7275,'REGISTRO ABONOS'!$B$8:$BC$10012,54,0)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8"/>
        <v>105000</v>
      </c>
      <c r="K7276" t="e">
        <f>VLOOKUP(B7276,'REGISTRO ABONOS'!$B$8:$BC$10012,54,0)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8"/>
        <v>105000</v>
      </c>
      <c r="K7277" t="e">
        <f>VLOOKUP(B7277,'REGISTRO ABONOS'!$B$8:$BC$10012,54,0)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8"/>
        <v>105000</v>
      </c>
      <c r="K7278" t="e">
        <f>VLOOKUP(B7278,'REGISTRO ABONOS'!$B$8:$BC$10012,54,0)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8"/>
        <v>105000</v>
      </c>
      <c r="K7279" t="e">
        <f>VLOOKUP(B7279,'REGISTRO ABONOS'!$B$8:$BC$10012,54,0)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ABONOS'!$B$8:$BC$10012,54,0)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9"/>
        <v>105000</v>
      </c>
      <c r="K7281" t="e">
        <f>VLOOKUP(B7281,'REGISTRO ABONOS'!$B$8:$BC$10012,54,0)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9"/>
        <v>105000</v>
      </c>
      <c r="K7282" t="e">
        <f>VLOOKUP(B7282,'REGISTRO ABONOS'!$B$8:$BC$10012,54,0)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9"/>
        <v>105000</v>
      </c>
      <c r="K7283" t="e">
        <f>VLOOKUP(B7283,'REGISTRO ABONOS'!$B$8:$BC$10012,54,0)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9"/>
        <v>105000</v>
      </c>
      <c r="K7284" t="e">
        <f>VLOOKUP(B7284,'REGISTRO ABONOS'!$B$8:$BC$10012,54,0)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9"/>
        <v>105000</v>
      </c>
      <c r="K7285" t="e">
        <f>VLOOKUP(B7285,'REGISTRO ABONOS'!$B$8:$BC$10012,54,0)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9"/>
        <v>105000</v>
      </c>
      <c r="K7286" t="e">
        <f>VLOOKUP(B7286,'REGISTRO ABONOS'!$B$8:$BC$10012,54,0)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9"/>
        <v>105000</v>
      </c>
      <c r="K7287" t="e">
        <f>VLOOKUP(B7287,'REGISTRO ABONOS'!$B$8:$BC$10012,54,0)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9"/>
        <v>105000</v>
      </c>
      <c r="K7288" t="e">
        <f>VLOOKUP(B7288,'REGISTRO ABONOS'!$B$8:$BC$10012,54,0)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9"/>
        <v>105000</v>
      </c>
      <c r="K7289" t="e">
        <f>VLOOKUP(B7289,'REGISTRO ABONOS'!$B$8:$BC$10012,54,0)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9"/>
        <v>105000</v>
      </c>
      <c r="K7290" t="e">
        <f>VLOOKUP(B7290,'REGISTRO ABONOS'!$B$8:$BC$10012,54,0)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9"/>
        <v>105000</v>
      </c>
      <c r="K7291" t="e">
        <f>VLOOKUP(B7291,'REGISTRO ABONOS'!$B$8:$BC$10012,54,0)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9"/>
        <v>105000</v>
      </c>
      <c r="K7292" t="e">
        <f>VLOOKUP(B7292,'REGISTRO ABONOS'!$B$8:$BC$10012,54,0)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9"/>
        <v>105000</v>
      </c>
      <c r="K7293" t="e">
        <f>VLOOKUP(B7293,'REGISTRO ABONOS'!$B$8:$BC$10012,54,0)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9"/>
        <v>105000</v>
      </c>
      <c r="K7294" t="e">
        <f>VLOOKUP(B7294,'REGISTRO ABONOS'!$B$8:$BC$10012,54,0)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9"/>
        <v>105000</v>
      </c>
      <c r="K7295" t="e">
        <f>VLOOKUP(B7295,'REGISTRO ABONOS'!$B$8:$BC$10012,54,0)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9"/>
        <v>105000</v>
      </c>
      <c r="K7296" t="e">
        <f>VLOOKUP(B7296,'REGISTRO ABONOS'!$B$8:$BC$10012,54,0)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9"/>
        <v>105000</v>
      </c>
      <c r="K7297" t="e">
        <f>VLOOKUP(B7297,'REGISTRO ABONOS'!$B$8:$BC$10012,54,0)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9"/>
        <v>105000</v>
      </c>
      <c r="K7298" t="e">
        <f>VLOOKUP(B7298,'REGISTRO ABONOS'!$B$8:$BC$10012,54,0)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9"/>
        <v>105000</v>
      </c>
      <c r="K7299" t="e">
        <f>VLOOKUP(B7299,'REGISTRO ABONOS'!$B$8:$BC$10012,54,0)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9"/>
        <v>105000</v>
      </c>
      <c r="K7300" t="e">
        <f>VLOOKUP(B7300,'REGISTRO ABONOS'!$B$8:$BC$10012,54,0)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9"/>
        <v>105000</v>
      </c>
      <c r="K7301" t="e">
        <f>VLOOKUP(B7301,'REGISTRO ABONOS'!$B$8:$BC$10012,54,0)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9"/>
        <v>105000</v>
      </c>
      <c r="K7302" t="e">
        <f>VLOOKUP(B7302,'REGISTRO ABONOS'!$B$8:$BC$10012,54,0)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9"/>
        <v>105000</v>
      </c>
      <c r="K7303" t="e">
        <f>VLOOKUP(B7303,'REGISTRO ABONOS'!$B$8:$BC$10012,54,0)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9"/>
        <v>105000</v>
      </c>
      <c r="K7304" t="e">
        <f>VLOOKUP(B7304,'REGISTRO ABONOS'!$B$8:$BC$10012,54,0)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9"/>
        <v>105000</v>
      </c>
      <c r="K7305" t="e">
        <f>VLOOKUP(B7305,'REGISTRO ABONOS'!$B$8:$BC$10012,54,0)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9"/>
        <v>105000</v>
      </c>
      <c r="K7306" t="e">
        <f>VLOOKUP(B7306,'REGISTRO ABONOS'!$B$8:$BC$10012,54,0)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9"/>
        <v>105000</v>
      </c>
      <c r="K7307" t="e">
        <f>VLOOKUP(B7307,'REGISTRO ABONOS'!$B$8:$BC$10012,54,0)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9"/>
        <v>105000</v>
      </c>
      <c r="K7308" t="e">
        <f>VLOOKUP(B7308,'REGISTRO ABONOS'!$B$8:$BC$10012,54,0)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9"/>
        <v>105000</v>
      </c>
      <c r="K7309" t="e">
        <f>VLOOKUP(B7309,'REGISTRO ABONOS'!$B$8:$BC$10012,54,0)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9"/>
        <v>105000</v>
      </c>
      <c r="K7310" t="e">
        <f>VLOOKUP(B7310,'REGISTRO ABONOS'!$B$8:$BC$10012,54,0)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9"/>
        <v>105000</v>
      </c>
      <c r="K7311" t="e">
        <f>VLOOKUP(B7311,'REGISTRO ABONOS'!$B$8:$BC$10012,54,0)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9"/>
        <v>105000</v>
      </c>
      <c r="K7312" t="e">
        <f>VLOOKUP(B7312,'REGISTRO ABONOS'!$B$8:$BC$10012,54,0)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9"/>
        <v>105000</v>
      </c>
      <c r="K7313" t="e">
        <f>VLOOKUP(B7313,'REGISTRO ABONOS'!$B$8:$BC$10012,54,0)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9"/>
        <v>105000</v>
      </c>
      <c r="K7314" t="e">
        <f>VLOOKUP(B7314,'REGISTRO ABONOS'!$B$8:$BC$10012,54,0)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9"/>
        <v>105000</v>
      </c>
      <c r="K7315" t="e">
        <f>VLOOKUP(B7315,'REGISTRO ABONOS'!$B$8:$BC$10012,54,0)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9"/>
        <v>105000</v>
      </c>
      <c r="K7316" t="e">
        <f>VLOOKUP(B7316,'REGISTRO ABONOS'!$B$8:$BC$10012,54,0)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9"/>
        <v>105000</v>
      </c>
      <c r="K7317" t="e">
        <f>VLOOKUP(B7317,'REGISTRO ABONOS'!$B$8:$BC$10012,54,0)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9"/>
        <v>105000</v>
      </c>
      <c r="K7318" t="e">
        <f>VLOOKUP(B7318,'REGISTRO ABONOS'!$B$8:$BC$10012,54,0)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9"/>
        <v>105000</v>
      </c>
      <c r="K7319" t="e">
        <f>VLOOKUP(B7319,'REGISTRO ABONOS'!$B$8:$BC$10012,54,0)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9"/>
        <v>105000</v>
      </c>
      <c r="K7320" t="e">
        <f>VLOOKUP(B7320,'REGISTRO ABONOS'!$B$8:$BC$10012,54,0)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9"/>
        <v>105000</v>
      </c>
      <c r="K7321" t="e">
        <f>VLOOKUP(B7321,'REGISTRO ABONOS'!$B$8:$BC$10012,54,0)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9"/>
        <v>105000</v>
      </c>
      <c r="K7322" t="e">
        <f>VLOOKUP(B7322,'REGISTRO ABONOS'!$B$8:$BC$10012,54,0)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9"/>
        <v>105000</v>
      </c>
      <c r="K7323" t="e">
        <f>VLOOKUP(B7323,'REGISTRO ABONOS'!$B$8:$BC$10012,54,0)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J7324">
        <f t="shared" si="119"/>
        <v>105000</v>
      </c>
      <c r="K7324" t="e">
        <f>VLOOKUP(B7324,'REGISTRO ABONOS'!$B$8:$BC$10012,54,0)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9"/>
        <v>105000</v>
      </c>
      <c r="K7325" t="e">
        <f>VLOOKUP(B7325,'REGISTRO ABONOS'!$B$8:$BC$10012,54,0)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9"/>
        <v>105000</v>
      </c>
      <c r="K7326" t="e">
        <f>VLOOKUP(B7326,'REGISTRO ABONOS'!$B$8:$BC$10012,54,0)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9"/>
        <v>105000</v>
      </c>
      <c r="K7327" t="e">
        <f>VLOOKUP(B7327,'REGISTRO ABONOS'!$B$8:$BC$10012,54,0)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9"/>
        <v>105000</v>
      </c>
      <c r="K7328" t="e">
        <f>VLOOKUP(B7328,'REGISTRO ABONOS'!$B$8:$BC$10012,54,0)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9"/>
        <v>105000</v>
      </c>
      <c r="K7329" t="e">
        <f>VLOOKUP(B7329,'REGISTRO ABONOS'!$B$8:$BC$10012,54,0)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9"/>
        <v>105000</v>
      </c>
      <c r="K7330" t="e">
        <f>VLOOKUP(B7330,'REGISTRO ABONOS'!$B$8:$BC$10012,54,0)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9"/>
        <v>105000</v>
      </c>
      <c r="K7331" t="e">
        <f>VLOOKUP(B7331,'REGISTRO ABONOS'!$B$8:$BC$10012,54,0)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9"/>
        <v>105000</v>
      </c>
      <c r="K7332" t="e">
        <f>VLOOKUP(B7332,'REGISTRO ABONOS'!$B$8:$BC$10012,54,0)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9"/>
        <v>105000</v>
      </c>
      <c r="K7333" t="e">
        <f>VLOOKUP(B7333,'REGISTRO ABONOS'!$B$8:$BC$10012,54,0)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9"/>
        <v>105000</v>
      </c>
      <c r="K7334" t="e">
        <f>VLOOKUP(B7334,'REGISTRO ABONOS'!$B$8:$BC$10012,54,0)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9"/>
        <v>105000</v>
      </c>
      <c r="K7335" t="e">
        <f>VLOOKUP(B7335,'REGISTRO ABONOS'!$B$8:$BC$10012,54,0)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9"/>
        <v>105000</v>
      </c>
      <c r="K7336" t="e">
        <f>VLOOKUP(B7336,'REGISTRO ABONOS'!$B$8:$BC$10012,54,0)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9"/>
        <v>105000</v>
      </c>
      <c r="K7337" t="e">
        <f>VLOOKUP(B7337,'REGISTRO ABONOS'!$B$8:$BC$10012,54,0)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9"/>
        <v>105000</v>
      </c>
      <c r="K7338" t="e">
        <f>VLOOKUP(B7338,'REGISTRO ABONOS'!$B$8:$BC$10012,54,0)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9"/>
        <v>105000</v>
      </c>
      <c r="K7339" t="e">
        <f>VLOOKUP(B7339,'REGISTRO ABONOS'!$B$8:$BC$10012,54,0)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9"/>
        <v>105000</v>
      </c>
      <c r="K7340" t="e">
        <f>VLOOKUP(B7340,'REGISTRO ABONOS'!$B$8:$BC$10012,54,0)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9"/>
        <v>105000</v>
      </c>
      <c r="K7341" t="e">
        <f>VLOOKUP(B7341,'REGISTRO ABONOS'!$B$8:$BC$10012,54,0)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9"/>
        <v>105000</v>
      </c>
      <c r="K7342" t="e">
        <f>VLOOKUP(B7342,'REGISTRO ABONOS'!$B$8:$BC$10012,54,0)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9"/>
        <v>105000</v>
      </c>
      <c r="K7343" t="e">
        <f>VLOOKUP(B7343,'REGISTRO ABONOS'!$B$8:$BC$10012,54,0)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ABONOS'!$B$8:$BC$10012,54,0)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20"/>
        <v>105000</v>
      </c>
      <c r="K7345" t="e">
        <f>VLOOKUP(B7345,'REGISTRO ABONOS'!$B$8:$BC$10012,54,0)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20"/>
        <v>105000</v>
      </c>
      <c r="K7346" t="e">
        <f>VLOOKUP(B7346,'REGISTRO ABONOS'!$B$8:$BC$10012,54,0)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20"/>
        <v>105000</v>
      </c>
      <c r="K7347" t="e">
        <f>VLOOKUP(B7347,'REGISTRO ABONOS'!$B$8:$BC$10012,54,0)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20"/>
        <v>105000</v>
      </c>
      <c r="K7348" t="e">
        <f>VLOOKUP(B7348,'REGISTRO ABONOS'!$B$8:$BC$10012,54,0)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20"/>
        <v>105000</v>
      </c>
      <c r="K7349" t="e">
        <f>VLOOKUP(B7349,'REGISTRO ABONOS'!$B$8:$BC$10012,54,0)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20"/>
        <v>105000</v>
      </c>
      <c r="K7350" t="e">
        <f>VLOOKUP(B7350,'REGISTRO ABONOS'!$B$8:$BC$10012,54,0)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20"/>
        <v>105000</v>
      </c>
      <c r="K7351" t="e">
        <f>VLOOKUP(B7351,'REGISTRO ABONOS'!$B$8:$BC$10012,54,0)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20"/>
        <v>105000</v>
      </c>
      <c r="K7352" t="e">
        <f>VLOOKUP(B7352,'REGISTRO ABONOS'!$B$8:$BC$10012,54,0)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20"/>
        <v>105000</v>
      </c>
      <c r="K7353" t="e">
        <f>VLOOKUP(B7353,'REGISTRO ABONOS'!$B$8:$BC$10012,54,0)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20"/>
        <v>105000</v>
      </c>
      <c r="K7354" t="e">
        <f>VLOOKUP(B7354,'REGISTRO ABONOS'!$B$8:$BC$10012,54,0)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20"/>
        <v>105000</v>
      </c>
      <c r="K7355" t="e">
        <f>VLOOKUP(B7355,'REGISTRO ABONOS'!$B$8:$BC$10012,54,0)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20"/>
        <v>105000</v>
      </c>
      <c r="K7356" t="e">
        <f>VLOOKUP(B7356,'REGISTRO ABONOS'!$B$8:$BC$10012,54,0)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20"/>
        <v>105000</v>
      </c>
      <c r="K7357" t="e">
        <f>VLOOKUP(B7357,'REGISTRO ABONOS'!$B$8:$BC$10012,54,0)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20"/>
        <v>105000</v>
      </c>
      <c r="K7358" t="e">
        <f>VLOOKUP(B7358,'REGISTRO ABONOS'!$B$8:$BC$10012,54,0)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20"/>
        <v>105000</v>
      </c>
      <c r="K7359" t="e">
        <f>VLOOKUP(B7359,'REGISTRO ABONOS'!$B$8:$BC$10012,54,0)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20"/>
        <v>105000</v>
      </c>
      <c r="K7360" t="e">
        <f>VLOOKUP(B7360,'REGISTRO ABONOS'!$B$8:$BC$10012,54,0)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20"/>
        <v>105000</v>
      </c>
      <c r="K7361" t="e">
        <f>VLOOKUP(B7361,'REGISTRO ABONOS'!$B$8:$BC$10012,54,0)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20"/>
        <v>105000</v>
      </c>
      <c r="K7362" t="e">
        <f>VLOOKUP(B7362,'REGISTRO ABONOS'!$B$8:$BC$10012,54,0)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20"/>
        <v>105000</v>
      </c>
      <c r="K7363" t="e">
        <f>VLOOKUP(B7363,'REGISTRO ABONOS'!$B$8:$BC$10012,54,0)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20"/>
        <v>105000</v>
      </c>
      <c r="K7364" t="e">
        <f>VLOOKUP(B7364,'REGISTRO ABONOS'!$B$8:$BC$10012,54,0)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20"/>
        <v>105000</v>
      </c>
      <c r="K7365" t="e">
        <f>VLOOKUP(B7365,'REGISTRO ABONOS'!$B$8:$BC$10012,54,0)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20"/>
        <v>105000</v>
      </c>
      <c r="K7366" t="e">
        <f>VLOOKUP(B7366,'REGISTRO ABONOS'!$B$8:$BC$10012,54,0)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20"/>
        <v>105000</v>
      </c>
      <c r="K7367" t="e">
        <f>VLOOKUP(B7367,'REGISTRO ABONOS'!$B$8:$BC$10012,54,0)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20"/>
        <v>105000</v>
      </c>
      <c r="K7368" t="e">
        <f>VLOOKUP(B7368,'REGISTRO ABONOS'!$B$8:$BC$10012,54,0)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20"/>
        <v>105000</v>
      </c>
      <c r="K7369" t="e">
        <f>VLOOKUP(B7369,'REGISTRO ABONOS'!$B$8:$BC$10012,54,0)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20"/>
        <v>105000</v>
      </c>
      <c r="K7370" t="e">
        <f>VLOOKUP(B7370,'REGISTRO ABONOS'!$B$8:$BC$10012,54,0)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20"/>
        <v>105000</v>
      </c>
      <c r="K7371" t="e">
        <f>VLOOKUP(B7371,'REGISTRO ABONOS'!$B$8:$BC$10012,54,0)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20"/>
        <v>105000</v>
      </c>
      <c r="K7372" t="e">
        <f>VLOOKUP(B7372,'REGISTRO ABONOS'!$B$8:$BC$10012,54,0)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20"/>
        <v>105000</v>
      </c>
      <c r="K7373" t="e">
        <f>VLOOKUP(B7373,'REGISTRO ABONOS'!$B$8:$BC$10012,54,0)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20"/>
        <v>105000</v>
      </c>
      <c r="K7374" t="e">
        <f>VLOOKUP(B7374,'REGISTRO ABONOS'!$B$8:$BC$10012,54,0)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20"/>
        <v>105000</v>
      </c>
      <c r="K7375" t="e">
        <f>VLOOKUP(B7375,'REGISTRO ABONOS'!$B$8:$BC$10012,54,0)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20"/>
        <v>105000</v>
      </c>
      <c r="K7376" t="e">
        <f>VLOOKUP(B7376,'REGISTRO ABONOS'!$B$8:$BC$10012,54,0)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20"/>
        <v>105000</v>
      </c>
      <c r="K7377" t="e">
        <f>VLOOKUP(B7377,'REGISTRO ABONOS'!$B$8:$BC$10012,54,0)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20"/>
        <v>105000</v>
      </c>
      <c r="K7378" t="e">
        <f>VLOOKUP(B7378,'REGISTRO ABONOS'!$B$8:$BC$10012,54,0)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20"/>
        <v>105000</v>
      </c>
      <c r="K7379" t="e">
        <f>VLOOKUP(B7379,'REGISTRO ABONOS'!$B$8:$BC$10012,54,0)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J7380">
        <f t="shared" si="120"/>
        <v>105000</v>
      </c>
      <c r="K7380" t="e">
        <f>VLOOKUP(B7380,'REGISTRO ABONOS'!$B$8:$BC$10012,54,0)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20"/>
        <v>105000</v>
      </c>
      <c r="K7381" t="e">
        <f>VLOOKUP(B7381,'REGISTRO ABONOS'!$B$8:$BC$10012,54,0)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20"/>
        <v>105000</v>
      </c>
      <c r="K7382" t="e">
        <f>VLOOKUP(B7382,'REGISTRO ABONOS'!$B$8:$BC$10012,54,0)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20"/>
        <v>105000</v>
      </c>
      <c r="K7383" t="e">
        <f>VLOOKUP(B7383,'REGISTRO ABONOS'!$B$8:$BC$10012,54,0)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20"/>
        <v>105000</v>
      </c>
      <c r="K7384" t="e">
        <f>VLOOKUP(B7384,'REGISTRO ABONOS'!$B$8:$BC$10012,54,0)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20"/>
        <v>105000</v>
      </c>
      <c r="K7385" t="e">
        <f>VLOOKUP(B7385,'REGISTRO ABONOS'!$B$8:$BC$10012,54,0)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20"/>
        <v>105000</v>
      </c>
      <c r="K7386" t="e">
        <f>VLOOKUP(B7386,'REGISTRO ABONOS'!$B$8:$BC$10012,54,0)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20"/>
        <v>105000</v>
      </c>
      <c r="K7387" t="e">
        <f>VLOOKUP(B7387,'REGISTRO ABONOS'!$B$8:$BC$10012,54,0)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20"/>
        <v>105000</v>
      </c>
      <c r="K7388" t="e">
        <f>VLOOKUP(B7388,'REGISTRO ABONOS'!$B$8:$BC$10012,54,0)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20"/>
        <v>105000</v>
      </c>
      <c r="K7389" t="e">
        <f>VLOOKUP(B7389,'REGISTRO ABONOS'!$B$8:$BC$10012,54,0)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20"/>
        <v>105000</v>
      </c>
      <c r="K7390" t="e">
        <f>VLOOKUP(B7390,'REGISTRO ABONOS'!$B$8:$BC$10012,54,0)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20"/>
        <v>105000</v>
      </c>
      <c r="K7391" t="e">
        <f>VLOOKUP(B7391,'REGISTRO ABONOS'!$B$8:$BC$10012,54,0)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20"/>
        <v>105000</v>
      </c>
      <c r="K7392" t="e">
        <f>VLOOKUP(B7392,'REGISTRO ABONOS'!$B$8:$BC$10012,54,0)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20"/>
        <v>105000</v>
      </c>
      <c r="K7393" t="e">
        <f>VLOOKUP(B7393,'REGISTRO ABONOS'!$B$8:$BC$10012,54,0)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20"/>
        <v>105000</v>
      </c>
      <c r="K7394" t="e">
        <f>VLOOKUP(B7394,'REGISTRO ABONOS'!$B$8:$BC$10012,54,0)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20"/>
        <v>105000</v>
      </c>
      <c r="K7395" t="e">
        <f>VLOOKUP(B7395,'REGISTRO ABONOS'!$B$8:$BC$10012,54,0)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20"/>
        <v>105000</v>
      </c>
      <c r="K7396" t="e">
        <f>VLOOKUP(B7396,'REGISTRO ABONOS'!$B$8:$BC$10012,54,0)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J7397">
        <f t="shared" si="120"/>
        <v>105000</v>
      </c>
      <c r="K7397" t="e">
        <f>VLOOKUP(B7397,'REGISTRO ABONOS'!$B$8:$BC$10012,54,0)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20"/>
        <v>105000</v>
      </c>
      <c r="K7398" t="e">
        <f>VLOOKUP(B7398,'REGISTRO ABONOS'!$B$8:$BC$10012,54,0)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20"/>
        <v>105000</v>
      </c>
      <c r="K7399" t="e">
        <f>VLOOKUP(B7399,'REGISTRO ABONOS'!$B$8:$BC$10012,54,0)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20"/>
        <v>105000</v>
      </c>
      <c r="K7400" t="e">
        <f>VLOOKUP(B7400,'REGISTRO ABONOS'!$B$8:$BC$10012,54,0)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20"/>
        <v>105000</v>
      </c>
      <c r="K7401" t="e">
        <f>VLOOKUP(B7401,'REGISTRO ABONOS'!$B$8:$BC$10012,54,0)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20"/>
        <v>105000</v>
      </c>
      <c r="K7402" t="e">
        <f>VLOOKUP(B7402,'REGISTRO ABONOS'!$B$8:$BC$10012,54,0)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20"/>
        <v>105000</v>
      </c>
      <c r="K7403" t="e">
        <f>VLOOKUP(B7403,'REGISTRO ABONOS'!$B$8:$BC$10012,54,0)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20"/>
        <v>105000</v>
      </c>
      <c r="K7404" t="e">
        <f>VLOOKUP(B7404,'REGISTRO ABONOS'!$B$8:$BC$10012,54,0)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20"/>
        <v>105000</v>
      </c>
      <c r="K7405" t="e">
        <f>VLOOKUP(B7405,'REGISTRO ABONOS'!$B$8:$BC$10012,54,0)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20"/>
        <v>105000</v>
      </c>
      <c r="K7406" t="e">
        <f>VLOOKUP(B7406,'REGISTRO ABONOS'!$B$8:$BC$10012,54,0)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20"/>
        <v>105000</v>
      </c>
      <c r="K7407" t="e">
        <f>VLOOKUP(B7407,'REGISTRO ABONOS'!$B$8:$BC$10012,54,0)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ABONOS'!$B$8:$BC$10012,54,0)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1"/>
        <v>105000</v>
      </c>
      <c r="K7409" t="e">
        <f>VLOOKUP(B7409,'REGISTRO ABONOS'!$B$8:$BC$10012,54,0)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1"/>
        <v>105000</v>
      </c>
      <c r="K7410" t="e">
        <f>VLOOKUP(B7410,'REGISTRO ABONOS'!$B$8:$BC$10012,54,0)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1"/>
        <v>105000</v>
      </c>
      <c r="K7411" t="e">
        <f>VLOOKUP(B7411,'REGISTRO ABONOS'!$B$8:$BC$10012,54,0)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1"/>
        <v>105000</v>
      </c>
      <c r="K7412" t="e">
        <f>VLOOKUP(B7412,'REGISTRO ABONOS'!$B$8:$BC$10012,54,0)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1"/>
        <v>105000</v>
      </c>
      <c r="K7413" t="e">
        <f>VLOOKUP(B7413,'REGISTRO ABONOS'!$B$8:$BC$10012,54,0)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1"/>
        <v>105000</v>
      </c>
      <c r="K7414" t="e">
        <f>VLOOKUP(B7414,'REGISTRO ABONOS'!$B$8:$BC$10012,54,0)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1"/>
        <v>105000</v>
      </c>
      <c r="K7415" t="e">
        <f>VLOOKUP(B7415,'REGISTRO ABONOS'!$B$8:$BC$10012,54,0)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1"/>
        <v>105000</v>
      </c>
      <c r="K7416" t="e">
        <f>VLOOKUP(B7416,'REGISTRO ABONOS'!$B$8:$BC$10012,54,0)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1"/>
        <v>105000</v>
      </c>
      <c r="K7417" t="e">
        <f>VLOOKUP(B7417,'REGISTRO ABONOS'!$B$8:$BC$10012,54,0)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1"/>
        <v>105000</v>
      </c>
      <c r="K7418" t="e">
        <f>VLOOKUP(B7418,'REGISTRO ABONOS'!$B$8:$BC$10012,54,0)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1"/>
        <v>105000</v>
      </c>
      <c r="K7419" t="e">
        <f>VLOOKUP(B7419,'REGISTRO ABONOS'!$B$8:$BC$10012,54,0)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1"/>
        <v>105000</v>
      </c>
      <c r="K7420" t="e">
        <f>VLOOKUP(B7420,'REGISTRO ABONOS'!$B$8:$BC$10012,54,0)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1"/>
        <v>105000</v>
      </c>
      <c r="K7421" t="e">
        <f>VLOOKUP(B7421,'REGISTRO ABONOS'!$B$8:$BC$10012,54,0)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1"/>
        <v>105000</v>
      </c>
      <c r="K7422" t="e">
        <f>VLOOKUP(B7422,'REGISTRO ABONOS'!$B$8:$BC$10012,54,0)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1"/>
        <v>105000</v>
      </c>
      <c r="K7423" t="e">
        <f>VLOOKUP(B7423,'REGISTRO ABONOS'!$B$8:$BC$10012,54,0)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1"/>
        <v>105000</v>
      </c>
      <c r="K7424" t="e">
        <f>VLOOKUP(B7424,'REGISTRO ABONOS'!$B$8:$BC$10012,54,0)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1"/>
        <v>105000</v>
      </c>
      <c r="K7425" t="e">
        <f>VLOOKUP(B7425,'REGISTRO ABONOS'!$B$8:$BC$10012,54,0)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1"/>
        <v>105000</v>
      </c>
      <c r="K7426" t="e">
        <f>VLOOKUP(B7426,'REGISTRO ABONOS'!$B$8:$BC$10012,54,0)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J7427">
        <f t="shared" si="121"/>
        <v>105000</v>
      </c>
      <c r="K7427" t="e">
        <f>VLOOKUP(B7427,'REGISTRO ABONOS'!$B$8:$BC$10012,54,0)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1"/>
        <v>105000</v>
      </c>
      <c r="K7428" t="e">
        <f>VLOOKUP(B7428,'REGISTRO ABONOS'!$B$8:$BC$10012,54,0)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1"/>
        <v>105000</v>
      </c>
      <c r="K7429" t="e">
        <f>VLOOKUP(B7429,'REGISTRO ABONOS'!$B$8:$BC$10012,54,0)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1"/>
        <v>105000</v>
      </c>
      <c r="K7430" t="e">
        <f>VLOOKUP(B7430,'REGISTRO ABONOS'!$B$8:$BC$10012,54,0)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1"/>
        <v>105000</v>
      </c>
      <c r="K7431" t="e">
        <f>VLOOKUP(B7431,'REGISTRO ABONOS'!$B$8:$BC$10012,54,0)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1"/>
        <v>105000</v>
      </c>
      <c r="K7432" t="e">
        <f>VLOOKUP(B7432,'REGISTRO ABONOS'!$B$8:$BC$10012,54,0)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1"/>
        <v>105000</v>
      </c>
      <c r="K7433" t="e">
        <f>VLOOKUP(B7433,'REGISTRO ABONOS'!$B$8:$BC$10012,54,0)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1"/>
        <v>105000</v>
      </c>
      <c r="K7434" t="e">
        <f>VLOOKUP(B7434,'REGISTRO ABONOS'!$B$8:$BC$10012,54,0)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1"/>
        <v>105000</v>
      </c>
      <c r="K7435" t="e">
        <f>VLOOKUP(B7435,'REGISTRO ABONOS'!$B$8:$BC$10012,54,0)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1"/>
        <v>105000</v>
      </c>
      <c r="K7436" t="e">
        <f>VLOOKUP(B7436,'REGISTRO ABONOS'!$B$8:$BC$10012,54,0)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1"/>
        <v>105000</v>
      </c>
      <c r="K7437" t="e">
        <f>VLOOKUP(B7437,'REGISTRO ABONOS'!$B$8:$BC$10012,54,0)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1"/>
        <v>105000</v>
      </c>
      <c r="K7438" t="e">
        <f>VLOOKUP(B7438,'REGISTRO ABONOS'!$B$8:$BC$10012,54,0)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1"/>
        <v>105000</v>
      </c>
      <c r="K7439" t="e">
        <f>VLOOKUP(B7439,'REGISTRO ABONOS'!$B$8:$BC$10012,54,0)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1"/>
        <v>105000</v>
      </c>
      <c r="K7440" t="e">
        <f>VLOOKUP(B7440,'REGISTRO ABONOS'!$B$8:$BC$10012,54,0)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1"/>
        <v>105000</v>
      </c>
      <c r="K7441" t="e">
        <f>VLOOKUP(B7441,'REGISTRO ABONOS'!$B$8:$BC$10012,54,0)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1"/>
        <v>105000</v>
      </c>
      <c r="K7442" t="e">
        <f>VLOOKUP(B7442,'REGISTRO ABONOS'!$B$8:$BC$10012,54,0)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1"/>
        <v>105000</v>
      </c>
      <c r="K7443" t="e">
        <f>VLOOKUP(B7443,'REGISTRO ABONOS'!$B$8:$BC$10012,54,0)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1"/>
        <v>105000</v>
      </c>
      <c r="K7444" t="e">
        <f>VLOOKUP(B7444,'REGISTRO ABONOS'!$B$8:$BC$10012,54,0)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1"/>
        <v>105000</v>
      </c>
      <c r="K7445" t="e">
        <f>VLOOKUP(B7445,'REGISTRO ABONOS'!$B$8:$BC$10012,54,0)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1"/>
        <v>105000</v>
      </c>
      <c r="K7446" t="e">
        <f>VLOOKUP(B7446,'REGISTRO ABONOS'!$B$8:$BC$10012,54,0)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1"/>
        <v>105000</v>
      </c>
      <c r="K7447" t="e">
        <f>VLOOKUP(B7447,'REGISTRO ABONOS'!$B$8:$BC$10012,54,0)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1"/>
        <v>105000</v>
      </c>
      <c r="K7448" t="e">
        <f>VLOOKUP(B7448,'REGISTRO ABONOS'!$B$8:$BC$10012,54,0)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1"/>
        <v>105000</v>
      </c>
      <c r="K7449" t="e">
        <f>VLOOKUP(B7449,'REGISTRO ABONOS'!$B$8:$BC$10012,54,0)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1"/>
        <v>105000</v>
      </c>
      <c r="K7450" t="e">
        <f>VLOOKUP(B7450,'REGISTRO ABONOS'!$B$8:$BC$10012,54,0)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1"/>
        <v>105000</v>
      </c>
      <c r="K7451" t="e">
        <f>VLOOKUP(B7451,'REGISTRO ABONOS'!$B$8:$BC$10012,54,0)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1"/>
        <v>105000</v>
      </c>
      <c r="K7452" t="e">
        <f>VLOOKUP(B7452,'REGISTRO ABONOS'!$B$8:$BC$10012,54,0)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1"/>
        <v>105000</v>
      </c>
      <c r="K7453" t="e">
        <f>VLOOKUP(B7453,'REGISTRO ABONOS'!$B$8:$BC$10012,54,0)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1"/>
        <v>105000</v>
      </c>
      <c r="K7454" t="e">
        <f>VLOOKUP(B7454,'REGISTRO ABONOS'!$B$8:$BC$10012,54,0)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1"/>
        <v>105000</v>
      </c>
      <c r="K7455" t="e">
        <f>VLOOKUP(B7455,'REGISTRO ABONOS'!$B$8:$BC$10012,54,0)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1"/>
        <v>105000</v>
      </c>
      <c r="K7456" t="e">
        <f>VLOOKUP(B7456,'REGISTRO ABONOS'!$B$8:$BC$10012,54,0)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1"/>
        <v>105000</v>
      </c>
      <c r="K7457" t="e">
        <f>VLOOKUP(B7457,'REGISTRO ABONOS'!$B$8:$BC$10012,54,0)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1"/>
        <v>105000</v>
      </c>
      <c r="K7458" t="e">
        <f>VLOOKUP(B7458,'REGISTRO ABONOS'!$B$8:$BC$10012,54,0)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1"/>
        <v>105000</v>
      </c>
      <c r="K7459" t="e">
        <f>VLOOKUP(B7459,'REGISTRO ABONOS'!$B$8:$BC$10012,54,0)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J7460">
        <f t="shared" si="121"/>
        <v>105000</v>
      </c>
      <c r="K7460" t="e">
        <f>VLOOKUP(B7460,'REGISTRO ABONOS'!$B$8:$BC$10012,54,0)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1"/>
        <v>105000</v>
      </c>
      <c r="K7461" t="e">
        <f>VLOOKUP(B7461,'REGISTRO ABONOS'!$B$8:$BC$10012,54,0)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1"/>
        <v>105000</v>
      </c>
      <c r="K7462" t="e">
        <f>VLOOKUP(B7462,'REGISTRO ABONOS'!$B$8:$BC$10012,54,0)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1"/>
        <v>105000</v>
      </c>
      <c r="K7463" t="e">
        <f>VLOOKUP(B7463,'REGISTRO ABONOS'!$B$8:$BC$10012,54,0)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1"/>
        <v>105000</v>
      </c>
      <c r="K7464" t="e">
        <f>VLOOKUP(B7464,'REGISTRO ABONOS'!$B$8:$BC$10012,54,0)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1"/>
        <v>105000</v>
      </c>
      <c r="K7465" t="e">
        <f>VLOOKUP(B7465,'REGISTRO ABONOS'!$B$8:$BC$10012,54,0)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1"/>
        <v>105000</v>
      </c>
      <c r="K7466" t="e">
        <f>VLOOKUP(B7466,'REGISTRO ABONOS'!$B$8:$BC$10012,54,0)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1"/>
        <v>105000</v>
      </c>
      <c r="K7467" t="e">
        <f>VLOOKUP(B7467,'REGISTRO ABONOS'!$B$8:$BC$10012,54,0)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1"/>
        <v>105000</v>
      </c>
      <c r="K7468" t="e">
        <f>VLOOKUP(B7468,'REGISTRO ABONOS'!$B$8:$BC$10012,54,0)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1"/>
        <v>105000</v>
      </c>
      <c r="K7469" t="e">
        <f>VLOOKUP(B7469,'REGISTRO ABONOS'!$B$8:$BC$10012,54,0)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1"/>
        <v>105000</v>
      </c>
      <c r="K7470" t="e">
        <f>VLOOKUP(B7470,'REGISTRO ABONOS'!$B$8:$BC$10012,54,0)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1"/>
        <v>105000</v>
      </c>
      <c r="K7471" t="e">
        <f>VLOOKUP(B7471,'REGISTRO ABONOS'!$B$8:$BC$10012,54,0)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ABONOS'!$B$8:$BC$10012,54,0)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2"/>
        <v>105000</v>
      </c>
      <c r="K7473" t="e">
        <f>VLOOKUP(B7473,'REGISTRO ABONOS'!$B$8:$BC$10012,54,0)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2"/>
        <v>105000</v>
      </c>
      <c r="K7474" t="e">
        <f>VLOOKUP(B7474,'REGISTRO ABONOS'!$B$8:$BC$10012,54,0)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2"/>
        <v>105000</v>
      </c>
      <c r="K7475" t="e">
        <f>VLOOKUP(B7475,'REGISTRO ABONOS'!$B$8:$BC$10012,54,0)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2"/>
        <v>105000</v>
      </c>
      <c r="K7476" t="e">
        <f>VLOOKUP(B7476,'REGISTRO ABONOS'!$B$8:$BC$10012,54,0)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2"/>
        <v>105000</v>
      </c>
      <c r="K7477" t="e">
        <f>VLOOKUP(B7477,'REGISTRO ABONOS'!$B$8:$BC$10012,54,0)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2"/>
        <v>105000</v>
      </c>
      <c r="K7478" t="e">
        <f>VLOOKUP(B7478,'REGISTRO ABONOS'!$B$8:$BC$10012,54,0)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2"/>
        <v>105000</v>
      </c>
      <c r="K7479" t="e">
        <f>VLOOKUP(B7479,'REGISTRO ABONOS'!$B$8:$BC$10012,54,0)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2"/>
        <v>105000</v>
      </c>
      <c r="K7480" t="e">
        <f>VLOOKUP(B7480,'REGISTRO ABONOS'!$B$8:$BC$10012,54,0)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2"/>
        <v>105000</v>
      </c>
      <c r="K7481" t="e">
        <f>VLOOKUP(B7481,'REGISTRO ABONOS'!$B$8:$BC$10012,54,0)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2"/>
        <v>105000</v>
      </c>
      <c r="K7482" t="e">
        <f>VLOOKUP(B7482,'REGISTRO ABONOS'!$B$8:$BC$10012,54,0)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2"/>
        <v>105000</v>
      </c>
      <c r="K7483" t="e">
        <f>VLOOKUP(B7483,'REGISTRO ABONOS'!$B$8:$BC$10012,54,0)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2"/>
        <v>105000</v>
      </c>
      <c r="K7484" t="e">
        <f>VLOOKUP(B7484,'REGISTRO ABONOS'!$B$8:$BC$10012,54,0)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2"/>
        <v>105000</v>
      </c>
      <c r="K7485" t="e">
        <f>VLOOKUP(B7485,'REGISTRO ABONOS'!$B$8:$BC$10012,54,0)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2"/>
        <v>105000</v>
      </c>
      <c r="K7486" t="e">
        <f>VLOOKUP(B7486,'REGISTRO ABONOS'!$B$8:$BC$10012,54,0)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2"/>
        <v>105000</v>
      </c>
      <c r="K7487" t="e">
        <f>VLOOKUP(B7487,'REGISTRO ABONOS'!$B$8:$BC$10012,54,0)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2"/>
        <v>105000</v>
      </c>
      <c r="K7488" t="e">
        <f>VLOOKUP(B7488,'REGISTRO ABONOS'!$B$8:$BC$10012,54,0)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2"/>
        <v>105000</v>
      </c>
      <c r="K7489" t="e">
        <f>VLOOKUP(B7489,'REGISTRO ABONOS'!$B$8:$BC$10012,54,0)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2"/>
        <v>105000</v>
      </c>
      <c r="K7490" t="e">
        <f>VLOOKUP(B7490,'REGISTRO ABONOS'!$B$8:$BC$10012,54,0)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2"/>
        <v>105000</v>
      </c>
      <c r="K7491" t="e">
        <f>VLOOKUP(B7491,'REGISTRO ABONOS'!$B$8:$BC$10012,54,0)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2"/>
        <v>105000</v>
      </c>
      <c r="K7492" t="e">
        <f>VLOOKUP(B7492,'REGISTRO ABONOS'!$B$8:$BC$10012,54,0)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2"/>
        <v>105000</v>
      </c>
      <c r="K7493" t="e">
        <f>VLOOKUP(B7493,'REGISTRO ABONOS'!$B$8:$BC$10012,54,0)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2"/>
        <v>105000</v>
      </c>
      <c r="K7494" t="e">
        <f>VLOOKUP(B7494,'REGISTRO ABONOS'!$B$8:$BC$10012,54,0)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2"/>
        <v>105000</v>
      </c>
      <c r="K7495" t="e">
        <f>VLOOKUP(B7495,'REGISTRO ABONOS'!$B$8:$BC$10012,54,0)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J7496">
        <f t="shared" si="122"/>
        <v>105000</v>
      </c>
      <c r="K7496" t="e">
        <f>VLOOKUP(B7496,'REGISTRO ABONOS'!$B$8:$BC$10012,54,0)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2"/>
        <v>105000</v>
      </c>
      <c r="K7497" t="e">
        <f>VLOOKUP(B7497,'REGISTRO ABONOS'!$B$8:$BC$10012,54,0)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2"/>
        <v>105000</v>
      </c>
      <c r="K7498" t="e">
        <f>VLOOKUP(B7498,'REGISTRO ABONOS'!$B$8:$BC$10012,54,0)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2"/>
        <v>105000</v>
      </c>
      <c r="K7499" t="e">
        <f>VLOOKUP(B7499,'REGISTRO ABONOS'!$B$8:$BC$10012,54,0)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2"/>
        <v>105000</v>
      </c>
      <c r="K7500" t="e">
        <f>VLOOKUP(B7500,'REGISTRO ABONOS'!$B$8:$BC$10012,54,0)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2"/>
        <v>105000</v>
      </c>
      <c r="K7501" t="e">
        <f>VLOOKUP(B7501,'REGISTRO ABONOS'!$B$8:$BC$10012,54,0)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2"/>
        <v>105000</v>
      </c>
      <c r="K7502" t="e">
        <f>VLOOKUP(B7502,'REGISTRO ABONOS'!$B$8:$BC$10012,54,0)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2"/>
        <v>105000</v>
      </c>
      <c r="K7503" t="e">
        <f>VLOOKUP(B7503,'REGISTRO ABONOS'!$B$8:$BC$10012,54,0)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2"/>
        <v>105000</v>
      </c>
      <c r="K7504" t="e">
        <f>VLOOKUP(B7504,'REGISTRO ABONOS'!$B$8:$BC$10012,54,0)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2"/>
        <v>105000</v>
      </c>
      <c r="K7505" t="e">
        <f>VLOOKUP(B7505,'REGISTRO ABONOS'!$B$8:$BC$10012,54,0)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2"/>
        <v>105000</v>
      </c>
      <c r="K7506" t="e">
        <f>VLOOKUP(B7506,'REGISTRO ABONOS'!$B$8:$BC$10012,54,0)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2"/>
        <v>105000</v>
      </c>
      <c r="K7507" t="e">
        <f>VLOOKUP(B7507,'REGISTRO ABONOS'!$B$8:$BC$10012,54,0)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2"/>
        <v>105000</v>
      </c>
      <c r="K7508" t="e">
        <f>VLOOKUP(B7508,'REGISTRO ABONOS'!$B$8:$BC$10012,54,0)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J7509">
        <f t="shared" si="122"/>
        <v>105000</v>
      </c>
      <c r="K7509" t="e">
        <f>VLOOKUP(B7509,'REGISTRO ABONOS'!$B$8:$BC$10012,54,0)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2"/>
        <v>105000</v>
      </c>
      <c r="K7510" t="e">
        <f>VLOOKUP(B7510,'REGISTRO ABONOS'!$B$8:$BC$10012,54,0)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2"/>
        <v>105000</v>
      </c>
      <c r="K7511" t="e">
        <f>VLOOKUP(B7511,'REGISTRO ABONOS'!$B$8:$BC$10012,54,0)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2"/>
        <v>105000</v>
      </c>
      <c r="K7512" t="e">
        <f>VLOOKUP(B7512,'REGISTRO ABONOS'!$B$8:$BC$10012,54,0)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2"/>
        <v>105000</v>
      </c>
      <c r="K7513" t="e">
        <f>VLOOKUP(B7513,'REGISTRO ABONOS'!$B$8:$BC$10012,54,0)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2"/>
        <v>105000</v>
      </c>
      <c r="K7514" t="e">
        <f>VLOOKUP(B7514,'REGISTRO ABONOS'!$B$8:$BC$10012,54,0)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2"/>
        <v>105000</v>
      </c>
      <c r="K7515" t="e">
        <f>VLOOKUP(B7515,'REGISTRO ABONOS'!$B$8:$BC$10012,54,0)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2"/>
        <v>105000</v>
      </c>
      <c r="K7516" t="e">
        <f>VLOOKUP(B7516,'REGISTRO ABONOS'!$B$8:$BC$10012,54,0)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2"/>
        <v>105000</v>
      </c>
      <c r="K7517" t="e">
        <f>VLOOKUP(B7517,'REGISTRO ABONOS'!$B$8:$BC$10012,54,0)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2"/>
        <v>105000</v>
      </c>
      <c r="K7518" t="e">
        <f>VLOOKUP(B7518,'REGISTRO ABONOS'!$B$8:$BC$10012,54,0)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J7519">
        <f t="shared" si="122"/>
        <v>105000</v>
      </c>
      <c r="K7519" t="e">
        <f>VLOOKUP(B7519,'REGISTRO ABONOS'!$B$8:$BC$10012,54,0)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2"/>
        <v>105000</v>
      </c>
      <c r="K7520" t="e">
        <f>VLOOKUP(B7520,'REGISTRO ABONOS'!$B$8:$BC$10012,54,0)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2"/>
        <v>105000</v>
      </c>
      <c r="K7521" t="e">
        <f>VLOOKUP(B7521,'REGISTRO ABONOS'!$B$8:$BC$10012,54,0)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2"/>
        <v>105000</v>
      </c>
      <c r="K7522" t="e">
        <f>VLOOKUP(B7522,'REGISTRO ABONOS'!$B$8:$BC$10012,54,0)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2"/>
        <v>105000</v>
      </c>
      <c r="K7523" t="e">
        <f>VLOOKUP(B7523,'REGISTRO ABONOS'!$B$8:$BC$10012,54,0)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2"/>
        <v>105000</v>
      </c>
      <c r="K7524" t="e">
        <f>VLOOKUP(B7524,'REGISTRO ABONOS'!$B$8:$BC$10012,54,0)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2"/>
        <v>105000</v>
      </c>
      <c r="K7525" t="e">
        <f>VLOOKUP(B7525,'REGISTRO ABONOS'!$B$8:$BC$10012,54,0)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2"/>
        <v>105000</v>
      </c>
      <c r="K7526" t="e">
        <f>VLOOKUP(B7526,'REGISTRO ABONOS'!$B$8:$BC$10012,54,0)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2"/>
        <v>105000</v>
      </c>
      <c r="K7527" t="e">
        <f>VLOOKUP(B7527,'REGISTRO ABONOS'!$B$8:$BC$10012,54,0)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2"/>
        <v>105000</v>
      </c>
      <c r="K7528" t="e">
        <f>VLOOKUP(B7528,'REGISTRO ABONOS'!$B$8:$BC$10012,54,0)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2"/>
        <v>105000</v>
      </c>
      <c r="K7529" t="e">
        <f>VLOOKUP(B7529,'REGISTRO ABONOS'!$B$8:$BC$10012,54,0)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2"/>
        <v>105000</v>
      </c>
      <c r="K7530" t="e">
        <f>VLOOKUP(B7530,'REGISTRO ABONOS'!$B$8:$BC$10012,54,0)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2"/>
        <v>105000</v>
      </c>
      <c r="K7531" t="e">
        <f>VLOOKUP(B7531,'REGISTRO ABONOS'!$B$8:$BC$10012,54,0)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2"/>
        <v>105000</v>
      </c>
      <c r="K7532" t="e">
        <f>VLOOKUP(B7532,'REGISTRO ABONOS'!$B$8:$BC$10012,54,0)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2"/>
        <v>105000</v>
      </c>
      <c r="K7533" t="e">
        <f>VLOOKUP(B7533,'REGISTRO ABONOS'!$B$8:$BC$10012,54,0)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2"/>
        <v>105000</v>
      </c>
      <c r="K7534" t="e">
        <f>VLOOKUP(B7534,'REGISTRO ABONOS'!$B$8:$BC$10012,54,0)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2"/>
        <v>105000</v>
      </c>
      <c r="K7535" t="e">
        <f>VLOOKUP(B7535,'REGISTRO ABONOS'!$B$8:$BC$10012,54,0)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ABONOS'!$B$8:$BC$10012,54,0)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3"/>
        <v>105000</v>
      </c>
      <c r="K7537" t="e">
        <f>VLOOKUP(B7537,'REGISTRO ABONOS'!$B$8:$BC$10012,54,0)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3"/>
        <v>105000</v>
      </c>
      <c r="K7538" t="e">
        <f>VLOOKUP(B7538,'REGISTRO ABONOS'!$B$8:$BC$10012,54,0)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3"/>
        <v>105000</v>
      </c>
      <c r="K7539" t="e">
        <f>VLOOKUP(B7539,'REGISTRO ABONOS'!$B$8:$BC$10012,54,0)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3"/>
        <v>105000</v>
      </c>
      <c r="K7540" t="e">
        <f>VLOOKUP(B7540,'REGISTRO ABONOS'!$B$8:$BC$10012,54,0)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3"/>
        <v>105000</v>
      </c>
      <c r="K7541" t="e">
        <f>VLOOKUP(B7541,'REGISTRO ABONOS'!$B$8:$BC$10012,54,0)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3"/>
        <v>105000</v>
      </c>
      <c r="K7542" t="e">
        <f>VLOOKUP(B7542,'REGISTRO ABONOS'!$B$8:$BC$10012,54,0)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3"/>
        <v>105000</v>
      </c>
      <c r="K7543" t="e">
        <f>VLOOKUP(B7543,'REGISTRO ABONOS'!$B$8:$BC$10012,54,0)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J7544">
        <f t="shared" si="123"/>
        <v>105000</v>
      </c>
      <c r="K7544" t="e">
        <f>VLOOKUP(B7544,'REGISTRO ABONOS'!$B$8:$BC$10012,54,0)</f>
        <v>#N/A</v>
      </c>
      <c r="L7544" t="e">
        <f>IF(Tabla26[[#This Row],[VALOR RESTANTE]]&lt;Tabla26[[#This Row],[VALOR]],"NO DISPONIBLE","DISPONIBLE")</f>
        <v>#N/A</v>
      </c>
      <c r="M7544" s="9">
        <f>COUNTIF(Tabla26[[#This Row],[VALOR RESTANTE]],0)</f>
        <v>0</v>
      </c>
    </row>
    <row r="7545" spans="2:13" x14ac:dyDescent="0.2">
      <c r="B7545" s="31">
        <v>7536</v>
      </c>
      <c r="J7545">
        <f t="shared" si="123"/>
        <v>105000</v>
      </c>
      <c r="K7545" t="e">
        <f>VLOOKUP(B7545,'REGISTRO ABONOS'!$B$8:$BC$10012,54,0)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3"/>
        <v>105000</v>
      </c>
      <c r="K7546" t="e">
        <f>VLOOKUP(B7546,'REGISTRO ABONOS'!$B$8:$BC$10012,54,0)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3"/>
        <v>105000</v>
      </c>
      <c r="K7547" t="e">
        <f>VLOOKUP(B7547,'REGISTRO ABONOS'!$B$8:$BC$10012,54,0)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3"/>
        <v>105000</v>
      </c>
      <c r="K7548" t="e">
        <f>VLOOKUP(B7548,'REGISTRO ABONOS'!$B$8:$BC$10012,54,0)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3"/>
        <v>105000</v>
      </c>
      <c r="K7549" t="e">
        <f>VLOOKUP(B7549,'REGISTRO ABONOS'!$B$8:$BC$10012,54,0)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3"/>
        <v>105000</v>
      </c>
      <c r="K7550" t="e">
        <f>VLOOKUP(B7550,'REGISTRO ABONOS'!$B$8:$BC$10012,54,0)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3"/>
        <v>105000</v>
      </c>
      <c r="K7551" t="e">
        <f>VLOOKUP(B7551,'REGISTRO ABONOS'!$B$8:$BC$10012,54,0)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3"/>
        <v>105000</v>
      </c>
      <c r="K7552" t="e">
        <f>VLOOKUP(B7552,'REGISTRO ABONOS'!$B$8:$BC$10012,54,0)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3"/>
        <v>105000</v>
      </c>
      <c r="K7553" t="e">
        <f>VLOOKUP(B7553,'REGISTRO ABONOS'!$B$8:$BC$10012,54,0)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3"/>
        <v>105000</v>
      </c>
      <c r="K7554" t="e">
        <f>VLOOKUP(B7554,'REGISTRO ABONOS'!$B$8:$BC$10012,54,0)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3"/>
        <v>105000</v>
      </c>
      <c r="K7555" t="e">
        <f>VLOOKUP(B7555,'REGISTRO ABONOS'!$B$8:$BC$10012,54,0)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3"/>
        <v>105000</v>
      </c>
      <c r="K7556" t="e">
        <f>VLOOKUP(B7556,'REGISTRO ABONOS'!$B$8:$BC$10012,54,0)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3"/>
        <v>105000</v>
      </c>
      <c r="K7557" t="e">
        <f>VLOOKUP(B7557,'REGISTRO ABONOS'!$B$8:$BC$10012,54,0)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3"/>
        <v>105000</v>
      </c>
      <c r="K7558" t="e">
        <f>VLOOKUP(B7558,'REGISTRO ABONOS'!$B$8:$BC$10012,54,0)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3"/>
        <v>105000</v>
      </c>
      <c r="K7559" t="e">
        <f>VLOOKUP(B7559,'REGISTRO ABONOS'!$B$8:$BC$10012,54,0)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3"/>
        <v>105000</v>
      </c>
      <c r="K7560" t="e">
        <f>VLOOKUP(B7560,'REGISTRO ABONOS'!$B$8:$BC$10012,54,0)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3"/>
        <v>105000</v>
      </c>
      <c r="K7561" t="e">
        <f>VLOOKUP(B7561,'REGISTRO ABONOS'!$B$8:$BC$10012,54,0)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3"/>
        <v>105000</v>
      </c>
      <c r="K7562" t="e">
        <f>VLOOKUP(B7562,'REGISTRO ABONOS'!$B$8:$BC$10012,54,0)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3"/>
        <v>105000</v>
      </c>
      <c r="K7563" t="e">
        <f>VLOOKUP(B7563,'REGISTRO ABONOS'!$B$8:$BC$10012,54,0)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3"/>
        <v>105000</v>
      </c>
      <c r="K7564" t="e">
        <f>VLOOKUP(B7564,'REGISTRO ABONOS'!$B$8:$BC$10012,54,0)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3"/>
        <v>105000</v>
      </c>
      <c r="K7565" t="e">
        <f>VLOOKUP(B7565,'REGISTRO ABONOS'!$B$8:$BC$10012,54,0)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3"/>
        <v>105000</v>
      </c>
      <c r="K7566" t="e">
        <f>VLOOKUP(B7566,'REGISTRO ABONOS'!$B$8:$BC$10012,54,0)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3"/>
        <v>105000</v>
      </c>
      <c r="K7567" t="e">
        <f>VLOOKUP(B7567,'REGISTRO ABONOS'!$B$8:$BC$10012,54,0)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3"/>
        <v>105000</v>
      </c>
      <c r="K7568" t="e">
        <f>VLOOKUP(B7568,'REGISTRO ABONOS'!$B$8:$BC$10012,54,0)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3"/>
        <v>105000</v>
      </c>
      <c r="K7569" t="e">
        <f>VLOOKUP(B7569,'REGISTRO ABONOS'!$B$8:$BC$10012,54,0)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3"/>
        <v>105000</v>
      </c>
      <c r="K7570" t="e">
        <f>VLOOKUP(B7570,'REGISTRO ABONOS'!$B$8:$BC$10012,54,0)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3"/>
        <v>105000</v>
      </c>
      <c r="K7571" t="e">
        <f>VLOOKUP(B7571,'REGISTRO ABONOS'!$B$8:$BC$10012,54,0)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3"/>
        <v>105000</v>
      </c>
      <c r="K7572" t="e">
        <f>VLOOKUP(B7572,'REGISTRO ABONOS'!$B$8:$BC$10012,54,0)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3"/>
        <v>105000</v>
      </c>
      <c r="K7573" t="e">
        <f>VLOOKUP(B7573,'REGISTRO ABONOS'!$B$8:$BC$10012,54,0)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3"/>
        <v>105000</v>
      </c>
      <c r="K7574" t="e">
        <f>VLOOKUP(B7574,'REGISTRO ABONOS'!$B$8:$BC$10012,54,0)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3"/>
        <v>105000</v>
      </c>
      <c r="K7575" t="e">
        <f>VLOOKUP(B7575,'REGISTRO ABONOS'!$B$8:$BC$10012,54,0)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3"/>
        <v>105000</v>
      </c>
      <c r="K7576" t="e">
        <f>VLOOKUP(B7576,'REGISTRO ABONOS'!$B$8:$BC$10012,54,0)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3"/>
        <v>105000</v>
      </c>
      <c r="K7577" t="e">
        <f>VLOOKUP(B7577,'REGISTRO ABONOS'!$B$8:$BC$10012,54,0)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3"/>
        <v>105000</v>
      </c>
      <c r="K7578" t="e">
        <f>VLOOKUP(B7578,'REGISTRO ABONOS'!$B$8:$BC$10012,54,0)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3"/>
        <v>105000</v>
      </c>
      <c r="K7579" t="e">
        <f>VLOOKUP(B7579,'REGISTRO ABONOS'!$B$8:$BC$10012,54,0)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3"/>
        <v>105000</v>
      </c>
      <c r="K7580" t="e">
        <f>VLOOKUP(B7580,'REGISTRO ABONOS'!$B$8:$BC$10012,54,0)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3"/>
        <v>105000</v>
      </c>
      <c r="K7581" t="e">
        <f>VLOOKUP(B7581,'REGISTRO ABONOS'!$B$8:$BC$10012,54,0)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3"/>
        <v>105000</v>
      </c>
      <c r="K7582" t="e">
        <f>VLOOKUP(B7582,'REGISTRO ABONOS'!$B$8:$BC$10012,54,0)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3"/>
        <v>105000</v>
      </c>
      <c r="K7583" t="e">
        <f>VLOOKUP(B7583,'REGISTRO ABONOS'!$B$8:$BC$10012,54,0)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3"/>
        <v>105000</v>
      </c>
      <c r="K7584" t="e">
        <f>VLOOKUP(B7584,'REGISTRO ABONOS'!$B$8:$BC$10012,54,0)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3"/>
        <v>105000</v>
      </c>
      <c r="K7585" t="e">
        <f>VLOOKUP(B7585,'REGISTRO ABONOS'!$B$8:$BC$10012,54,0)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3"/>
        <v>105000</v>
      </c>
      <c r="K7586" t="e">
        <f>VLOOKUP(B7586,'REGISTRO ABONOS'!$B$8:$BC$10012,54,0)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3"/>
        <v>105000</v>
      </c>
      <c r="K7587" t="e">
        <f>VLOOKUP(B7587,'REGISTRO ABONOS'!$B$8:$BC$10012,54,0)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3"/>
        <v>105000</v>
      </c>
      <c r="K7588" t="e">
        <f>VLOOKUP(B7588,'REGISTRO ABONOS'!$B$8:$BC$10012,54,0)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3"/>
        <v>105000</v>
      </c>
      <c r="K7589" t="e">
        <f>VLOOKUP(B7589,'REGISTRO ABONOS'!$B$8:$BC$10012,54,0)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3"/>
        <v>105000</v>
      </c>
      <c r="K7590" t="e">
        <f>VLOOKUP(B7590,'REGISTRO ABONOS'!$B$8:$BC$10012,54,0)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3"/>
        <v>105000</v>
      </c>
      <c r="K7591" t="e">
        <f>VLOOKUP(B7591,'REGISTRO ABONOS'!$B$8:$BC$10012,54,0)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3"/>
        <v>105000</v>
      </c>
      <c r="K7592" t="e">
        <f>VLOOKUP(B7592,'REGISTRO ABONOS'!$B$8:$BC$10012,54,0)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3"/>
        <v>105000</v>
      </c>
      <c r="K7593" t="e">
        <f>VLOOKUP(B7593,'REGISTRO ABONOS'!$B$8:$BC$10012,54,0)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3"/>
        <v>105000</v>
      </c>
      <c r="K7594" t="e">
        <f>VLOOKUP(B7594,'REGISTRO ABONOS'!$B$8:$BC$10012,54,0)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3"/>
        <v>105000</v>
      </c>
      <c r="K7595" t="e">
        <f>VLOOKUP(B7595,'REGISTRO ABONOS'!$B$8:$BC$10012,54,0)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3"/>
        <v>105000</v>
      </c>
      <c r="K7596" t="e">
        <f>VLOOKUP(B7596,'REGISTRO ABONOS'!$B$8:$BC$10012,54,0)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3"/>
        <v>105000</v>
      </c>
      <c r="K7597" t="e">
        <f>VLOOKUP(B7597,'REGISTRO ABONOS'!$B$8:$BC$10012,54,0)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3"/>
        <v>105000</v>
      </c>
      <c r="K7598" t="e">
        <f>VLOOKUP(B7598,'REGISTRO ABONOS'!$B$8:$BC$10012,54,0)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3"/>
        <v>105000</v>
      </c>
      <c r="K7599" t="e">
        <f>VLOOKUP(B7599,'REGISTRO ABONOS'!$B$8:$BC$10012,54,0)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ABONOS'!$B$8:$BC$10012,54,0)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4"/>
        <v>105000</v>
      </c>
      <c r="K7601" t="e">
        <f>VLOOKUP(B7601,'REGISTRO ABONOS'!$B$8:$BC$10012,54,0)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4"/>
        <v>105000</v>
      </c>
      <c r="K7602" t="e">
        <f>VLOOKUP(B7602,'REGISTRO ABONOS'!$B$8:$BC$10012,54,0)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4"/>
        <v>105000</v>
      </c>
      <c r="K7603" t="e">
        <f>VLOOKUP(B7603,'REGISTRO ABONOS'!$B$8:$BC$10012,54,0)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4"/>
        <v>105000</v>
      </c>
      <c r="K7604" t="e">
        <f>VLOOKUP(B7604,'REGISTRO ABONOS'!$B$8:$BC$10012,54,0)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4"/>
        <v>105000</v>
      </c>
      <c r="K7605" t="e">
        <f>VLOOKUP(B7605,'REGISTRO ABONOS'!$B$8:$BC$10012,54,0)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4"/>
        <v>105000</v>
      </c>
      <c r="K7606" t="e">
        <f>VLOOKUP(B7606,'REGISTRO ABONOS'!$B$8:$BC$10012,54,0)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4"/>
        <v>105000</v>
      </c>
      <c r="K7607" t="e">
        <f>VLOOKUP(B7607,'REGISTRO ABONOS'!$B$8:$BC$10012,54,0)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4"/>
        <v>105000</v>
      </c>
      <c r="K7608" t="e">
        <f>VLOOKUP(B7608,'REGISTRO ABONOS'!$B$8:$BC$10012,54,0)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4"/>
        <v>105000</v>
      </c>
      <c r="K7609" t="e">
        <f>VLOOKUP(B7609,'REGISTRO ABONOS'!$B$8:$BC$10012,54,0)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4"/>
        <v>105000</v>
      </c>
      <c r="K7610" t="e">
        <f>VLOOKUP(B7610,'REGISTRO ABONOS'!$B$8:$BC$10012,54,0)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4"/>
        <v>105000</v>
      </c>
      <c r="K7611" t="e">
        <f>VLOOKUP(B7611,'REGISTRO ABONOS'!$B$8:$BC$10012,54,0)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4"/>
        <v>105000</v>
      </c>
      <c r="K7612" t="e">
        <f>VLOOKUP(B7612,'REGISTRO ABONOS'!$B$8:$BC$10012,54,0)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4"/>
        <v>105000</v>
      </c>
      <c r="K7613" t="e">
        <f>VLOOKUP(B7613,'REGISTRO ABONOS'!$B$8:$BC$10012,54,0)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4"/>
        <v>105000</v>
      </c>
      <c r="K7614" t="e">
        <f>VLOOKUP(B7614,'REGISTRO ABONOS'!$B$8:$BC$10012,54,0)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4"/>
        <v>105000</v>
      </c>
      <c r="K7615" t="e">
        <f>VLOOKUP(B7615,'REGISTRO ABONOS'!$B$8:$BC$10012,54,0)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4"/>
        <v>105000</v>
      </c>
      <c r="K7616" t="e">
        <f>VLOOKUP(B7616,'REGISTRO ABONOS'!$B$8:$BC$10012,54,0)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4"/>
        <v>105000</v>
      </c>
      <c r="K7617" t="e">
        <f>VLOOKUP(B7617,'REGISTRO ABONOS'!$B$8:$BC$10012,54,0)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4"/>
        <v>105000</v>
      </c>
      <c r="K7618" t="e">
        <f>VLOOKUP(B7618,'REGISTRO ABONOS'!$B$8:$BC$10012,54,0)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4"/>
        <v>105000</v>
      </c>
      <c r="K7619" t="e">
        <f>VLOOKUP(B7619,'REGISTRO ABONOS'!$B$8:$BC$10012,54,0)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4"/>
        <v>105000</v>
      </c>
      <c r="K7620" t="e">
        <f>VLOOKUP(B7620,'REGISTRO ABONOS'!$B$8:$BC$10012,54,0)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4"/>
        <v>105000</v>
      </c>
      <c r="K7621" t="e">
        <f>VLOOKUP(B7621,'REGISTRO ABONOS'!$B$8:$BC$10012,54,0)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4"/>
        <v>105000</v>
      </c>
      <c r="K7622" t="e">
        <f>VLOOKUP(B7622,'REGISTRO ABONOS'!$B$8:$BC$10012,54,0)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4"/>
        <v>105000</v>
      </c>
      <c r="K7623" t="e">
        <f>VLOOKUP(B7623,'REGISTRO ABONOS'!$B$8:$BC$10012,54,0)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4"/>
        <v>105000</v>
      </c>
      <c r="K7624" t="e">
        <f>VLOOKUP(B7624,'REGISTRO ABONOS'!$B$8:$BC$10012,54,0)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4"/>
        <v>105000</v>
      </c>
      <c r="K7625" t="e">
        <f>VLOOKUP(B7625,'REGISTRO ABONOS'!$B$8:$BC$10012,54,0)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4"/>
        <v>105000</v>
      </c>
      <c r="K7626" t="e">
        <f>VLOOKUP(B7626,'REGISTRO ABONOS'!$B$8:$BC$10012,54,0)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4"/>
        <v>105000</v>
      </c>
      <c r="K7627" t="e">
        <f>VLOOKUP(B7627,'REGISTRO ABONOS'!$B$8:$BC$10012,54,0)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4"/>
        <v>105000</v>
      </c>
      <c r="K7628" t="e">
        <f>VLOOKUP(B7628,'REGISTRO ABONOS'!$B$8:$BC$10012,54,0)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4"/>
        <v>105000</v>
      </c>
      <c r="K7629" t="e">
        <f>VLOOKUP(B7629,'REGISTRO ABONOS'!$B$8:$BC$10012,54,0)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4"/>
        <v>105000</v>
      </c>
      <c r="K7630" t="e">
        <f>VLOOKUP(B7630,'REGISTRO ABONOS'!$B$8:$BC$10012,54,0)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4"/>
        <v>105000</v>
      </c>
      <c r="K7631" t="e">
        <f>VLOOKUP(B7631,'REGISTRO ABONOS'!$B$8:$BC$10012,54,0)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4"/>
        <v>105000</v>
      </c>
      <c r="K7632" t="e">
        <f>VLOOKUP(B7632,'REGISTRO ABONOS'!$B$8:$BC$10012,54,0)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4"/>
        <v>105000</v>
      </c>
      <c r="K7633" t="e">
        <f>VLOOKUP(B7633,'REGISTRO ABONOS'!$B$8:$BC$10012,54,0)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4"/>
        <v>105000</v>
      </c>
      <c r="K7634" t="e">
        <f>VLOOKUP(B7634,'REGISTRO ABONOS'!$B$8:$BC$10012,54,0)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4"/>
        <v>105000</v>
      </c>
      <c r="K7635" t="e">
        <f>VLOOKUP(B7635,'REGISTRO ABONOS'!$B$8:$BC$10012,54,0)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J7636">
        <f t="shared" si="124"/>
        <v>105000</v>
      </c>
      <c r="K7636" t="e">
        <f>VLOOKUP(B7636,'REGISTRO ABONOS'!$B$8:$BC$10012,54,0)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4"/>
        <v>105000</v>
      </c>
      <c r="K7637" t="e">
        <f>VLOOKUP(B7637,'REGISTRO ABONOS'!$B$8:$BC$10012,54,0)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4"/>
        <v>105000</v>
      </c>
      <c r="K7638" t="e">
        <f>VLOOKUP(B7638,'REGISTRO ABONOS'!$B$8:$BC$10012,54,0)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4"/>
        <v>105000</v>
      </c>
      <c r="K7639" t="e">
        <f>VLOOKUP(B7639,'REGISTRO ABONOS'!$B$8:$BC$10012,54,0)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4"/>
        <v>105000</v>
      </c>
      <c r="K7640" t="e">
        <f>VLOOKUP(B7640,'REGISTRO ABONOS'!$B$8:$BC$10012,54,0)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4"/>
        <v>105000</v>
      </c>
      <c r="K7641" t="e">
        <f>VLOOKUP(B7641,'REGISTRO ABONOS'!$B$8:$BC$10012,54,0)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4"/>
        <v>105000</v>
      </c>
      <c r="K7642" t="e">
        <f>VLOOKUP(B7642,'REGISTRO ABONOS'!$B$8:$BC$10012,54,0)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4"/>
        <v>105000</v>
      </c>
      <c r="K7643" t="e">
        <f>VLOOKUP(B7643,'REGISTRO ABONOS'!$B$8:$BC$10012,54,0)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4"/>
        <v>105000</v>
      </c>
      <c r="K7644" t="e">
        <f>VLOOKUP(B7644,'REGISTRO ABONOS'!$B$8:$BC$10012,54,0)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4"/>
        <v>105000</v>
      </c>
      <c r="K7645" t="e">
        <f>VLOOKUP(B7645,'REGISTRO ABONOS'!$B$8:$BC$10012,54,0)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4"/>
        <v>105000</v>
      </c>
      <c r="K7646" t="e">
        <f>VLOOKUP(B7646,'REGISTRO ABONOS'!$B$8:$BC$10012,54,0)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4"/>
        <v>105000</v>
      </c>
      <c r="K7647" t="e">
        <f>VLOOKUP(B7647,'REGISTRO ABONOS'!$B$8:$BC$10012,54,0)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4"/>
        <v>105000</v>
      </c>
      <c r="K7648" t="e">
        <f>VLOOKUP(B7648,'REGISTRO ABONOS'!$B$8:$BC$10012,54,0)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4"/>
        <v>105000</v>
      </c>
      <c r="K7649" t="e">
        <f>VLOOKUP(B7649,'REGISTRO ABONOS'!$B$8:$BC$10012,54,0)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4"/>
        <v>105000</v>
      </c>
      <c r="K7650" t="e">
        <f>VLOOKUP(B7650,'REGISTRO ABONOS'!$B$8:$BC$10012,54,0)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4"/>
        <v>105000</v>
      </c>
      <c r="K7651" t="e">
        <f>VLOOKUP(B7651,'REGISTRO ABONOS'!$B$8:$BC$10012,54,0)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4"/>
        <v>105000</v>
      </c>
      <c r="K7652" t="e">
        <f>VLOOKUP(B7652,'REGISTRO ABONOS'!$B$8:$BC$10012,54,0)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4"/>
        <v>105000</v>
      </c>
      <c r="K7653" t="e">
        <f>VLOOKUP(B7653,'REGISTRO ABONOS'!$B$8:$BC$10012,54,0)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4"/>
        <v>105000</v>
      </c>
      <c r="K7654" t="e">
        <f>VLOOKUP(B7654,'REGISTRO ABONOS'!$B$8:$BC$10012,54,0)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4"/>
        <v>105000</v>
      </c>
      <c r="K7655" t="e">
        <f>VLOOKUP(B7655,'REGISTRO ABONOS'!$B$8:$BC$10012,54,0)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4"/>
        <v>105000</v>
      </c>
      <c r="K7656" t="e">
        <f>VLOOKUP(B7656,'REGISTRO ABONOS'!$B$8:$BC$10012,54,0)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4"/>
        <v>105000</v>
      </c>
      <c r="K7657" t="e">
        <f>VLOOKUP(B7657,'REGISTRO ABONOS'!$B$8:$BC$10012,54,0)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4"/>
        <v>105000</v>
      </c>
      <c r="K7658" t="e">
        <f>VLOOKUP(B7658,'REGISTRO ABONOS'!$B$8:$BC$10012,54,0)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4"/>
        <v>105000</v>
      </c>
      <c r="K7659" t="e">
        <f>VLOOKUP(B7659,'REGISTRO ABONOS'!$B$8:$BC$10012,54,0)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4"/>
        <v>105000</v>
      </c>
      <c r="K7660" t="e">
        <f>VLOOKUP(B7660,'REGISTRO ABONOS'!$B$8:$BC$10012,54,0)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4"/>
        <v>105000</v>
      </c>
      <c r="K7661" t="e">
        <f>VLOOKUP(B7661,'REGISTRO ABONOS'!$B$8:$BC$10012,54,0)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4"/>
        <v>105000</v>
      </c>
      <c r="K7662" t="e">
        <f>VLOOKUP(B7662,'REGISTRO ABONOS'!$B$8:$BC$10012,54,0)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4"/>
        <v>105000</v>
      </c>
      <c r="K7663" t="e">
        <f>VLOOKUP(B7663,'REGISTRO ABONOS'!$B$8:$BC$10012,54,0)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ABONOS'!$B$8:$BC$10012,54,0)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5"/>
        <v>105000</v>
      </c>
      <c r="K7665" t="e">
        <f>VLOOKUP(B7665,'REGISTRO ABONOS'!$B$8:$BC$10012,54,0)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5"/>
        <v>105000</v>
      </c>
      <c r="K7666" t="e">
        <f>VLOOKUP(B7666,'REGISTRO ABONOS'!$B$8:$BC$10012,54,0)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5"/>
        <v>105000</v>
      </c>
      <c r="K7667" t="e">
        <f>VLOOKUP(B7667,'REGISTRO ABONOS'!$B$8:$BC$10012,54,0)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5"/>
        <v>105000</v>
      </c>
      <c r="K7668" t="e">
        <f>VLOOKUP(B7668,'REGISTRO ABONOS'!$B$8:$BC$10012,54,0)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5"/>
        <v>105000</v>
      </c>
      <c r="K7669" t="e">
        <f>VLOOKUP(B7669,'REGISTRO ABONOS'!$B$8:$BC$10012,54,0)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5"/>
        <v>105000</v>
      </c>
      <c r="K7670" t="e">
        <f>VLOOKUP(B7670,'REGISTRO ABONOS'!$B$8:$BC$10012,54,0)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5"/>
        <v>105000</v>
      </c>
      <c r="K7671" t="e">
        <f>VLOOKUP(B7671,'REGISTRO ABONOS'!$B$8:$BC$10012,54,0)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5"/>
        <v>105000</v>
      </c>
      <c r="K7672" t="e">
        <f>VLOOKUP(B7672,'REGISTRO ABONOS'!$B$8:$BC$10012,54,0)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5"/>
        <v>105000</v>
      </c>
      <c r="K7673" t="e">
        <f>VLOOKUP(B7673,'REGISTRO ABONOS'!$B$8:$BC$10012,54,0)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5"/>
        <v>105000</v>
      </c>
      <c r="K7674" t="e">
        <f>VLOOKUP(B7674,'REGISTRO ABONOS'!$B$8:$BC$10012,54,0)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5"/>
        <v>105000</v>
      </c>
      <c r="K7675" t="e">
        <f>VLOOKUP(B7675,'REGISTRO ABONOS'!$B$8:$BC$10012,54,0)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5"/>
        <v>105000</v>
      </c>
      <c r="K7676" t="e">
        <f>VLOOKUP(B7676,'REGISTRO ABONOS'!$B$8:$BC$10012,54,0)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5"/>
        <v>105000</v>
      </c>
      <c r="K7677" t="e">
        <f>VLOOKUP(B7677,'REGISTRO ABONOS'!$B$8:$BC$10012,54,0)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5"/>
        <v>105000</v>
      </c>
      <c r="K7678" t="e">
        <f>VLOOKUP(B7678,'REGISTRO ABONOS'!$B$8:$BC$10012,54,0)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5"/>
        <v>105000</v>
      </c>
      <c r="K7679" t="e">
        <f>VLOOKUP(B7679,'REGISTRO ABONOS'!$B$8:$BC$10012,54,0)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5"/>
        <v>105000</v>
      </c>
      <c r="K7680" t="e">
        <f>VLOOKUP(B7680,'REGISTRO ABONOS'!$B$8:$BC$10012,54,0)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5"/>
        <v>105000</v>
      </c>
      <c r="K7681" t="e">
        <f>VLOOKUP(B7681,'REGISTRO ABONOS'!$B$8:$BC$10012,54,0)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5"/>
        <v>105000</v>
      </c>
      <c r="K7682" t="e">
        <f>VLOOKUP(B7682,'REGISTRO ABONOS'!$B$8:$BC$10012,54,0)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5"/>
        <v>105000</v>
      </c>
      <c r="K7683" t="e">
        <f>VLOOKUP(B7683,'REGISTRO ABONOS'!$B$8:$BC$10012,54,0)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5"/>
        <v>105000</v>
      </c>
      <c r="K7684" t="e">
        <f>VLOOKUP(B7684,'REGISTRO ABONOS'!$B$8:$BC$10012,54,0)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5"/>
        <v>105000</v>
      </c>
      <c r="K7685" t="e">
        <f>VLOOKUP(B7685,'REGISTRO ABONOS'!$B$8:$BC$10012,54,0)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5"/>
        <v>105000</v>
      </c>
      <c r="K7686" t="e">
        <f>VLOOKUP(B7686,'REGISTRO ABONOS'!$B$8:$BC$10012,54,0)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5"/>
        <v>105000</v>
      </c>
      <c r="K7687" t="e">
        <f>VLOOKUP(B7687,'REGISTRO ABONOS'!$B$8:$BC$10012,54,0)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5"/>
        <v>105000</v>
      </c>
      <c r="K7688" t="e">
        <f>VLOOKUP(B7688,'REGISTRO ABONOS'!$B$8:$BC$10012,54,0)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5"/>
        <v>105000</v>
      </c>
      <c r="K7689" t="e">
        <f>VLOOKUP(B7689,'REGISTRO ABONOS'!$B$8:$BC$10012,54,0)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5"/>
        <v>105000</v>
      </c>
      <c r="K7690" t="e">
        <f>VLOOKUP(B7690,'REGISTRO ABONOS'!$B$8:$BC$10012,54,0)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5"/>
        <v>105000</v>
      </c>
      <c r="K7691" t="e">
        <f>VLOOKUP(B7691,'REGISTRO ABONOS'!$B$8:$BC$10012,54,0)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5"/>
        <v>105000</v>
      </c>
      <c r="K7692" t="e">
        <f>VLOOKUP(B7692,'REGISTRO ABONOS'!$B$8:$BC$10012,54,0)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5"/>
        <v>105000</v>
      </c>
      <c r="K7693" t="e">
        <f>VLOOKUP(B7693,'REGISTRO ABONOS'!$B$8:$BC$10012,54,0)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5"/>
        <v>105000</v>
      </c>
      <c r="K7694" t="e">
        <f>VLOOKUP(B7694,'REGISTRO ABONOS'!$B$8:$BC$10012,54,0)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5"/>
        <v>105000</v>
      </c>
      <c r="K7695" t="e">
        <f>VLOOKUP(B7695,'REGISTRO ABONOS'!$B$8:$BC$10012,54,0)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5"/>
        <v>105000</v>
      </c>
      <c r="K7696" t="e">
        <f>VLOOKUP(B7696,'REGISTRO ABONOS'!$B$8:$BC$10012,54,0)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5"/>
        <v>105000</v>
      </c>
      <c r="K7697" t="e">
        <f>VLOOKUP(B7697,'REGISTRO ABONOS'!$B$8:$BC$10012,54,0)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5"/>
        <v>105000</v>
      </c>
      <c r="K7698" t="e">
        <f>VLOOKUP(B7698,'REGISTRO ABONOS'!$B$8:$BC$10012,54,0)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5"/>
        <v>105000</v>
      </c>
      <c r="K7699" t="e">
        <f>VLOOKUP(B7699,'REGISTRO ABONOS'!$B$8:$BC$10012,54,0)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5"/>
        <v>105000</v>
      </c>
      <c r="K7700" t="e">
        <f>VLOOKUP(B7700,'REGISTRO ABONOS'!$B$8:$BC$10012,54,0)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5"/>
        <v>105000</v>
      </c>
      <c r="K7701" t="e">
        <f>VLOOKUP(B7701,'REGISTRO ABONOS'!$B$8:$BC$10012,54,0)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5"/>
        <v>105000</v>
      </c>
      <c r="K7702" t="e">
        <f>VLOOKUP(B7702,'REGISTRO ABONOS'!$B$8:$BC$10012,54,0)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5"/>
        <v>105000</v>
      </c>
      <c r="K7703" t="e">
        <f>VLOOKUP(B7703,'REGISTRO ABONOS'!$B$8:$BC$10012,54,0)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5"/>
        <v>105000</v>
      </c>
      <c r="K7704" t="e">
        <f>VLOOKUP(B7704,'REGISTRO ABONOS'!$B$8:$BC$10012,54,0)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5"/>
        <v>105000</v>
      </c>
      <c r="K7705" t="e">
        <f>VLOOKUP(B7705,'REGISTRO ABONOS'!$B$8:$BC$10012,54,0)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5"/>
        <v>105000</v>
      </c>
      <c r="K7706" t="e">
        <f>VLOOKUP(B7706,'REGISTRO ABONOS'!$B$8:$BC$10012,54,0)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5"/>
        <v>105000</v>
      </c>
      <c r="K7707" t="e">
        <f>VLOOKUP(B7707,'REGISTRO ABONOS'!$B$8:$BC$10012,54,0)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5"/>
        <v>105000</v>
      </c>
      <c r="K7708" t="e">
        <f>VLOOKUP(B7708,'REGISTRO ABONOS'!$B$8:$BC$10012,54,0)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5"/>
        <v>105000</v>
      </c>
      <c r="K7709" t="e">
        <f>VLOOKUP(B7709,'REGISTRO ABONOS'!$B$8:$BC$10012,54,0)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5"/>
        <v>105000</v>
      </c>
      <c r="K7710" t="e">
        <f>VLOOKUP(B7710,'REGISTRO ABONOS'!$B$8:$BC$10012,54,0)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5"/>
        <v>105000</v>
      </c>
      <c r="K7711" t="e">
        <f>VLOOKUP(B7711,'REGISTRO ABONOS'!$B$8:$BC$10012,54,0)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5"/>
        <v>105000</v>
      </c>
      <c r="K7712" t="e">
        <f>VLOOKUP(B7712,'REGISTRO ABONOS'!$B$8:$BC$10012,54,0)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5"/>
        <v>105000</v>
      </c>
      <c r="K7713" t="e">
        <f>VLOOKUP(B7713,'REGISTRO ABONOS'!$B$8:$BC$10012,54,0)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5"/>
        <v>105000</v>
      </c>
      <c r="K7714" t="e">
        <f>VLOOKUP(B7714,'REGISTRO ABONOS'!$B$8:$BC$10012,54,0)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5"/>
        <v>105000</v>
      </c>
      <c r="K7715" t="e">
        <f>VLOOKUP(B7715,'REGISTRO ABONOS'!$B$8:$BC$10012,54,0)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5"/>
        <v>105000</v>
      </c>
      <c r="K7716" t="e">
        <f>VLOOKUP(B7716,'REGISTRO ABONOS'!$B$8:$BC$10012,54,0)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5"/>
        <v>105000</v>
      </c>
      <c r="K7717" t="e">
        <f>VLOOKUP(B7717,'REGISTRO ABONOS'!$B$8:$BC$10012,54,0)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5"/>
        <v>105000</v>
      </c>
      <c r="K7718" t="e">
        <f>VLOOKUP(B7718,'REGISTRO ABONOS'!$B$8:$BC$10012,54,0)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5"/>
        <v>105000</v>
      </c>
      <c r="K7719" t="e">
        <f>VLOOKUP(B7719,'REGISTRO ABONOS'!$B$8:$BC$10012,54,0)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5"/>
        <v>105000</v>
      </c>
      <c r="K7720" t="e">
        <f>VLOOKUP(B7720,'REGISTRO ABONOS'!$B$8:$BC$10012,54,0)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J7721">
        <f t="shared" si="125"/>
        <v>105000</v>
      </c>
      <c r="K7721" t="e">
        <f>VLOOKUP(B7721,'REGISTRO ABONOS'!$B$8:$BC$10012,54,0)</f>
        <v>#N/A</v>
      </c>
      <c r="L7721" t="e">
        <f>IF(Tabla26[[#This Row],[VALOR RESTANTE]]&lt;Tabla26[[#This Row],[VALOR]],"NO DISPONIBLE","DISPONIBLE")</f>
        <v>#N/A</v>
      </c>
      <c r="M7721" s="9">
        <f>COUNTIF(Tabla26[[#This Row],[VALOR RESTANTE]],0)</f>
        <v>0</v>
      </c>
    </row>
    <row r="7722" spans="2:13" x14ac:dyDescent="0.2">
      <c r="B7722" s="31">
        <v>7713</v>
      </c>
      <c r="J7722">
        <f t="shared" si="125"/>
        <v>105000</v>
      </c>
      <c r="K7722" t="e">
        <f>VLOOKUP(B7722,'REGISTRO ABONOS'!$B$8:$BC$10012,54,0)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5"/>
        <v>105000</v>
      </c>
      <c r="K7723" t="e">
        <f>VLOOKUP(B7723,'REGISTRO ABONOS'!$B$8:$BC$10012,54,0)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J7724">
        <f t="shared" si="125"/>
        <v>105000</v>
      </c>
      <c r="K7724" t="e">
        <f>VLOOKUP(B7724,'REGISTRO ABONOS'!$B$8:$BC$10012,54,0)</f>
        <v>#N/A</v>
      </c>
      <c r="L7724" t="e">
        <f>IF(Tabla26[[#This Row],[VALOR RESTANTE]]&lt;Tabla26[[#This Row],[VALOR]],"NO DISPONIBLE","DISPONIBLE")</f>
        <v>#N/A</v>
      </c>
      <c r="M7724" s="9">
        <f>COUNTIF(Tabla26[[#This Row],[VALOR RESTANTE]],0)</f>
        <v>0</v>
      </c>
    </row>
    <row r="7725" spans="2:13" x14ac:dyDescent="0.2">
      <c r="B7725" s="31">
        <v>7716</v>
      </c>
      <c r="J7725">
        <f t="shared" si="125"/>
        <v>105000</v>
      </c>
      <c r="K7725" t="e">
        <f>VLOOKUP(B7725,'REGISTRO ABONOS'!$B$8:$BC$10012,54,0)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5"/>
        <v>105000</v>
      </c>
      <c r="K7726" t="e">
        <f>VLOOKUP(B7726,'REGISTRO ABONOS'!$B$8:$BC$10012,54,0)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5"/>
        <v>105000</v>
      </c>
      <c r="K7727" t="e">
        <f>VLOOKUP(B7727,'REGISTRO ABONOS'!$B$8:$BC$10012,54,0)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ABONOS'!$B$8:$BC$10012,54,0)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6"/>
        <v>105000</v>
      </c>
      <c r="K7729" t="e">
        <f>VLOOKUP(B7729,'REGISTRO ABONOS'!$B$8:$BC$10012,54,0)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6"/>
        <v>105000</v>
      </c>
      <c r="K7730" t="e">
        <f>VLOOKUP(B7730,'REGISTRO ABONOS'!$B$8:$BC$10012,54,0)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6"/>
        <v>105000</v>
      </c>
      <c r="K7731" t="e">
        <f>VLOOKUP(B7731,'REGISTRO ABONOS'!$B$8:$BC$10012,54,0)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6"/>
        <v>105000</v>
      </c>
      <c r="K7732" t="e">
        <f>VLOOKUP(B7732,'REGISTRO ABONOS'!$B$8:$BC$10012,54,0)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6"/>
        <v>105000</v>
      </c>
      <c r="K7733" t="e">
        <f>VLOOKUP(B7733,'REGISTRO ABONOS'!$B$8:$BC$10012,54,0)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6"/>
        <v>105000</v>
      </c>
      <c r="K7734" t="e">
        <f>VLOOKUP(B7734,'REGISTRO ABONOS'!$B$8:$BC$10012,54,0)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6"/>
        <v>105000</v>
      </c>
      <c r="K7735" t="e">
        <f>VLOOKUP(B7735,'REGISTRO ABONOS'!$B$8:$BC$10012,54,0)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6"/>
        <v>105000</v>
      </c>
      <c r="K7736" t="e">
        <f>VLOOKUP(B7736,'REGISTRO ABONOS'!$B$8:$BC$10012,54,0)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6"/>
        <v>105000</v>
      </c>
      <c r="K7737" t="e">
        <f>VLOOKUP(B7737,'REGISTRO ABONOS'!$B$8:$BC$10012,54,0)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6"/>
        <v>105000</v>
      </c>
      <c r="K7738" t="e">
        <f>VLOOKUP(B7738,'REGISTRO ABONOS'!$B$8:$BC$10012,54,0)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6"/>
        <v>105000</v>
      </c>
      <c r="K7739" t="e">
        <f>VLOOKUP(B7739,'REGISTRO ABONOS'!$B$8:$BC$10012,54,0)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6"/>
        <v>105000</v>
      </c>
      <c r="K7740" t="e">
        <f>VLOOKUP(B7740,'REGISTRO ABONOS'!$B$8:$BC$10012,54,0)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6"/>
        <v>105000</v>
      </c>
      <c r="K7741" t="e">
        <f>VLOOKUP(B7741,'REGISTRO ABONOS'!$B$8:$BC$10012,54,0)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6"/>
        <v>105000</v>
      </c>
      <c r="K7742" t="e">
        <f>VLOOKUP(B7742,'REGISTRO ABONOS'!$B$8:$BC$10012,54,0)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6"/>
        <v>105000</v>
      </c>
      <c r="K7743" t="e">
        <f>VLOOKUP(B7743,'REGISTRO ABONOS'!$B$8:$BC$10012,54,0)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6"/>
        <v>105000</v>
      </c>
      <c r="K7744" t="e">
        <f>VLOOKUP(B7744,'REGISTRO ABONOS'!$B$8:$BC$10012,54,0)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6"/>
        <v>105000</v>
      </c>
      <c r="K7745" t="e">
        <f>VLOOKUP(B7745,'REGISTRO ABONOS'!$B$8:$BC$10012,54,0)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6"/>
        <v>105000</v>
      </c>
      <c r="K7746" t="e">
        <f>VLOOKUP(B7746,'REGISTRO ABONOS'!$B$8:$BC$10012,54,0)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6"/>
        <v>105000</v>
      </c>
      <c r="K7747" t="e">
        <f>VLOOKUP(B7747,'REGISTRO ABONOS'!$B$8:$BC$10012,54,0)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6"/>
        <v>105000</v>
      </c>
      <c r="K7748" t="e">
        <f>VLOOKUP(B7748,'REGISTRO ABONOS'!$B$8:$BC$10012,54,0)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6"/>
        <v>105000</v>
      </c>
      <c r="K7749" t="e">
        <f>VLOOKUP(B7749,'REGISTRO ABONOS'!$B$8:$BC$10012,54,0)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6"/>
        <v>105000</v>
      </c>
      <c r="K7750" t="e">
        <f>VLOOKUP(B7750,'REGISTRO ABONOS'!$B$8:$BC$10012,54,0)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6"/>
        <v>105000</v>
      </c>
      <c r="K7751" t="e">
        <f>VLOOKUP(B7751,'REGISTRO ABONOS'!$B$8:$BC$10012,54,0)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6"/>
        <v>105000</v>
      </c>
      <c r="K7752" t="e">
        <f>VLOOKUP(B7752,'REGISTRO ABONOS'!$B$8:$BC$10012,54,0)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6"/>
        <v>105000</v>
      </c>
      <c r="K7753" t="e">
        <f>VLOOKUP(B7753,'REGISTRO ABONOS'!$B$8:$BC$10012,54,0)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6"/>
        <v>105000</v>
      </c>
      <c r="K7754" t="e">
        <f>VLOOKUP(B7754,'REGISTRO ABONOS'!$B$8:$BC$10012,54,0)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6"/>
        <v>105000</v>
      </c>
      <c r="K7755" t="e">
        <f>VLOOKUP(B7755,'REGISTRO ABONOS'!$B$8:$BC$10012,54,0)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6"/>
        <v>105000</v>
      </c>
      <c r="K7756" t="e">
        <f>VLOOKUP(B7756,'REGISTRO ABONOS'!$B$8:$BC$10012,54,0)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6"/>
        <v>105000</v>
      </c>
      <c r="K7757" t="e">
        <f>VLOOKUP(B7757,'REGISTRO ABONOS'!$B$8:$BC$10012,54,0)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6"/>
        <v>105000</v>
      </c>
      <c r="K7758" t="e">
        <f>VLOOKUP(B7758,'REGISTRO ABONOS'!$B$8:$BC$10012,54,0)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6"/>
        <v>105000</v>
      </c>
      <c r="K7759" t="e">
        <f>VLOOKUP(B7759,'REGISTRO ABONOS'!$B$8:$BC$10012,54,0)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6"/>
        <v>105000</v>
      </c>
      <c r="K7760" t="e">
        <f>VLOOKUP(B7760,'REGISTRO ABONOS'!$B$8:$BC$10012,54,0)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6"/>
        <v>105000</v>
      </c>
      <c r="K7761" t="e">
        <f>VLOOKUP(B7761,'REGISTRO ABONOS'!$B$8:$BC$10012,54,0)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6"/>
        <v>105000</v>
      </c>
      <c r="K7762" t="e">
        <f>VLOOKUP(B7762,'REGISTRO ABONOS'!$B$8:$BC$10012,54,0)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6"/>
        <v>105000</v>
      </c>
      <c r="K7763" t="e">
        <f>VLOOKUP(B7763,'REGISTRO ABONOS'!$B$8:$BC$10012,54,0)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6"/>
        <v>105000</v>
      </c>
      <c r="K7764" t="e">
        <f>VLOOKUP(B7764,'REGISTRO ABONOS'!$B$8:$BC$10012,54,0)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6"/>
        <v>105000</v>
      </c>
      <c r="K7765" t="e">
        <f>VLOOKUP(B7765,'REGISTRO ABONOS'!$B$8:$BC$10012,54,0)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6"/>
        <v>105000</v>
      </c>
      <c r="K7766" t="e">
        <f>VLOOKUP(B7766,'REGISTRO ABONOS'!$B$8:$BC$10012,54,0)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6"/>
        <v>105000</v>
      </c>
      <c r="K7767" t="e">
        <f>VLOOKUP(B7767,'REGISTRO ABONOS'!$B$8:$BC$10012,54,0)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6"/>
        <v>105000</v>
      </c>
      <c r="K7768" t="e">
        <f>VLOOKUP(B7768,'REGISTRO ABONOS'!$B$8:$BC$10012,54,0)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6"/>
        <v>105000</v>
      </c>
      <c r="K7769" t="e">
        <f>VLOOKUP(B7769,'REGISTRO ABONOS'!$B$8:$BC$10012,54,0)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6"/>
        <v>105000</v>
      </c>
      <c r="K7770" t="e">
        <f>VLOOKUP(B7770,'REGISTRO ABONOS'!$B$8:$BC$10012,54,0)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6"/>
        <v>105000</v>
      </c>
      <c r="K7771" t="e">
        <f>VLOOKUP(B7771,'REGISTRO ABONOS'!$B$8:$BC$10012,54,0)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6"/>
        <v>105000</v>
      </c>
      <c r="K7772" t="e">
        <f>VLOOKUP(B7772,'REGISTRO ABONOS'!$B$8:$BC$10012,54,0)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6"/>
        <v>105000</v>
      </c>
      <c r="K7773" t="e">
        <f>VLOOKUP(B7773,'REGISTRO ABONOS'!$B$8:$BC$10012,54,0)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6"/>
        <v>105000</v>
      </c>
      <c r="K7774" t="e">
        <f>VLOOKUP(B7774,'REGISTRO ABONOS'!$B$8:$BC$10012,54,0)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6"/>
        <v>105000</v>
      </c>
      <c r="K7775" t="e">
        <f>VLOOKUP(B7775,'REGISTRO ABONOS'!$B$8:$BC$10012,54,0)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6"/>
        <v>105000</v>
      </c>
      <c r="K7776" t="e">
        <f>VLOOKUP(B7776,'REGISTRO ABONOS'!$B$8:$BC$10012,54,0)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6"/>
        <v>105000</v>
      </c>
      <c r="K7777" t="e">
        <f>VLOOKUP(B7777,'REGISTRO ABONOS'!$B$8:$BC$10012,54,0)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6"/>
        <v>105000</v>
      </c>
      <c r="K7778" t="e">
        <f>VLOOKUP(B7778,'REGISTRO ABONOS'!$B$8:$BC$10012,54,0)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6"/>
        <v>105000</v>
      </c>
      <c r="K7779" t="e">
        <f>VLOOKUP(B7779,'REGISTRO ABONOS'!$B$8:$BC$10012,54,0)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6"/>
        <v>105000</v>
      </c>
      <c r="K7780" t="e">
        <f>VLOOKUP(B7780,'REGISTRO ABONOS'!$B$8:$BC$10012,54,0)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6"/>
        <v>105000</v>
      </c>
      <c r="K7781" t="e">
        <f>VLOOKUP(B7781,'REGISTRO ABONOS'!$B$8:$BC$10012,54,0)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6"/>
        <v>105000</v>
      </c>
      <c r="K7782" t="e">
        <f>VLOOKUP(B7782,'REGISTRO ABONOS'!$B$8:$BC$10012,54,0)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6"/>
        <v>105000</v>
      </c>
      <c r="K7783" t="e">
        <f>VLOOKUP(B7783,'REGISTRO ABONOS'!$B$8:$BC$10012,54,0)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6"/>
        <v>105000</v>
      </c>
      <c r="K7784" t="e">
        <f>VLOOKUP(B7784,'REGISTRO ABONOS'!$B$8:$BC$10012,54,0)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6"/>
        <v>105000</v>
      </c>
      <c r="K7785" t="e">
        <f>VLOOKUP(B7785,'REGISTRO ABONOS'!$B$8:$BC$10012,54,0)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6"/>
        <v>105000</v>
      </c>
      <c r="K7786" t="e">
        <f>VLOOKUP(B7786,'REGISTRO ABONOS'!$B$8:$BC$10012,54,0)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6"/>
        <v>105000</v>
      </c>
      <c r="K7787" t="e">
        <f>VLOOKUP(B7787,'REGISTRO ABONOS'!$B$8:$BC$10012,54,0)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6"/>
        <v>105000</v>
      </c>
      <c r="K7788" t="e">
        <f>VLOOKUP(B7788,'REGISTRO ABONOS'!$B$8:$BC$10012,54,0)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6"/>
        <v>105000</v>
      </c>
      <c r="K7789" t="e">
        <f>VLOOKUP(B7789,'REGISTRO ABONOS'!$B$8:$BC$10012,54,0)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6"/>
        <v>105000</v>
      </c>
      <c r="K7790" t="e">
        <f>VLOOKUP(B7790,'REGISTRO ABONOS'!$B$8:$BC$10012,54,0)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6"/>
        <v>105000</v>
      </c>
      <c r="K7791" t="e">
        <f>VLOOKUP(B7791,'REGISTRO ABONOS'!$B$8:$BC$10012,54,0)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ABONOS'!$B$8:$BC$10012,54,0)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7"/>
        <v>105000</v>
      </c>
      <c r="K7793" t="e">
        <f>VLOOKUP(B7793,'REGISTRO ABONOS'!$B$8:$BC$10012,54,0)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7"/>
        <v>105000</v>
      </c>
      <c r="K7794" t="e">
        <f>VLOOKUP(B7794,'REGISTRO ABONOS'!$B$8:$BC$10012,54,0)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7"/>
        <v>105000</v>
      </c>
      <c r="K7795" t="e">
        <f>VLOOKUP(B7795,'REGISTRO ABONOS'!$B$8:$BC$10012,54,0)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7"/>
        <v>105000</v>
      </c>
      <c r="K7796" t="e">
        <f>VLOOKUP(B7796,'REGISTRO ABONOS'!$B$8:$BC$10012,54,0)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7"/>
        <v>105000</v>
      </c>
      <c r="K7797" t="e">
        <f>VLOOKUP(B7797,'REGISTRO ABONOS'!$B$8:$BC$10012,54,0)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7"/>
        <v>105000</v>
      </c>
      <c r="K7798" t="e">
        <f>VLOOKUP(B7798,'REGISTRO ABONOS'!$B$8:$BC$10012,54,0)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7"/>
        <v>105000</v>
      </c>
      <c r="K7799" t="e">
        <f>VLOOKUP(B7799,'REGISTRO ABONOS'!$B$8:$BC$10012,54,0)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7"/>
        <v>105000</v>
      </c>
      <c r="K7800" t="e">
        <f>VLOOKUP(B7800,'REGISTRO ABONOS'!$B$8:$BC$10012,54,0)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7"/>
        <v>105000</v>
      </c>
      <c r="K7801" t="e">
        <f>VLOOKUP(B7801,'REGISTRO ABONOS'!$B$8:$BC$10012,54,0)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7"/>
        <v>105000</v>
      </c>
      <c r="K7802" t="e">
        <f>VLOOKUP(B7802,'REGISTRO ABONOS'!$B$8:$BC$10012,54,0)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7"/>
        <v>105000</v>
      </c>
      <c r="K7803" t="e">
        <f>VLOOKUP(B7803,'REGISTRO ABONOS'!$B$8:$BC$10012,54,0)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7"/>
        <v>105000</v>
      </c>
      <c r="K7804" t="e">
        <f>VLOOKUP(B7804,'REGISTRO ABONOS'!$B$8:$BC$10012,54,0)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7"/>
        <v>105000</v>
      </c>
      <c r="K7805" t="e">
        <f>VLOOKUP(B7805,'REGISTRO ABONOS'!$B$8:$BC$10012,54,0)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7"/>
        <v>105000</v>
      </c>
      <c r="K7806" t="e">
        <f>VLOOKUP(B7806,'REGISTRO ABONOS'!$B$8:$BC$10012,54,0)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7"/>
        <v>105000</v>
      </c>
      <c r="K7807" t="e">
        <f>VLOOKUP(B7807,'REGISTRO ABONOS'!$B$8:$BC$10012,54,0)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7"/>
        <v>105000</v>
      </c>
      <c r="K7808" t="e">
        <f>VLOOKUP(B7808,'REGISTRO ABONOS'!$B$8:$BC$10012,54,0)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7"/>
        <v>105000</v>
      </c>
      <c r="K7809" t="e">
        <f>VLOOKUP(B7809,'REGISTRO ABONOS'!$B$8:$BC$10012,54,0)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7"/>
        <v>105000</v>
      </c>
      <c r="K7810" t="e">
        <f>VLOOKUP(B7810,'REGISTRO ABONOS'!$B$8:$BC$10012,54,0)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7"/>
        <v>105000</v>
      </c>
      <c r="K7811" t="e">
        <f>VLOOKUP(B7811,'REGISTRO ABONOS'!$B$8:$BC$10012,54,0)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7"/>
        <v>105000</v>
      </c>
      <c r="K7812" t="e">
        <f>VLOOKUP(B7812,'REGISTRO ABONOS'!$B$8:$BC$10012,54,0)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7"/>
        <v>105000</v>
      </c>
      <c r="K7813" t="e">
        <f>VLOOKUP(B7813,'REGISTRO ABONOS'!$B$8:$BC$10012,54,0)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7"/>
        <v>105000</v>
      </c>
      <c r="K7814" t="e">
        <f>VLOOKUP(B7814,'REGISTRO ABONOS'!$B$8:$BC$10012,54,0)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7"/>
        <v>105000</v>
      </c>
      <c r="K7815" t="e">
        <f>VLOOKUP(B7815,'REGISTRO ABONOS'!$B$8:$BC$10012,54,0)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7"/>
        <v>105000</v>
      </c>
      <c r="K7816" t="e">
        <f>VLOOKUP(B7816,'REGISTRO ABONOS'!$B$8:$BC$10012,54,0)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7"/>
        <v>105000</v>
      </c>
      <c r="K7817" t="e">
        <f>VLOOKUP(B7817,'REGISTRO ABONOS'!$B$8:$BC$10012,54,0)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7"/>
        <v>105000</v>
      </c>
      <c r="K7818" t="e">
        <f>VLOOKUP(B7818,'REGISTRO ABONOS'!$B$8:$BC$10012,54,0)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7"/>
        <v>105000</v>
      </c>
      <c r="K7819" t="e">
        <f>VLOOKUP(B7819,'REGISTRO ABONOS'!$B$8:$BC$10012,54,0)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7"/>
        <v>105000</v>
      </c>
      <c r="K7820" t="e">
        <f>VLOOKUP(B7820,'REGISTRO ABONOS'!$B$8:$BC$10012,54,0)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7"/>
        <v>105000</v>
      </c>
      <c r="K7821" t="e">
        <f>VLOOKUP(B7821,'REGISTRO ABONOS'!$B$8:$BC$10012,54,0)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7"/>
        <v>105000</v>
      </c>
      <c r="K7822" t="e">
        <f>VLOOKUP(B7822,'REGISTRO ABONOS'!$B$8:$BC$10012,54,0)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7"/>
        <v>105000</v>
      </c>
      <c r="K7823" t="e">
        <f>VLOOKUP(B7823,'REGISTRO ABONOS'!$B$8:$BC$10012,54,0)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7"/>
        <v>105000</v>
      </c>
      <c r="K7824" t="e">
        <f>VLOOKUP(B7824,'REGISTRO ABONOS'!$B$8:$BC$10012,54,0)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7"/>
        <v>105000</v>
      </c>
      <c r="K7825" t="e">
        <f>VLOOKUP(B7825,'REGISTRO ABONOS'!$B$8:$BC$10012,54,0)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7"/>
        <v>105000</v>
      </c>
      <c r="K7826" t="e">
        <f>VLOOKUP(B7826,'REGISTRO ABONOS'!$B$8:$BC$10012,54,0)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7"/>
        <v>105000</v>
      </c>
      <c r="K7827" t="e">
        <f>VLOOKUP(B7827,'REGISTRO ABONOS'!$B$8:$BC$10012,54,0)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7"/>
        <v>105000</v>
      </c>
      <c r="K7828" t="e">
        <f>VLOOKUP(B7828,'REGISTRO ABONOS'!$B$8:$BC$10012,54,0)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7"/>
        <v>105000</v>
      </c>
      <c r="K7829" t="e">
        <f>VLOOKUP(B7829,'REGISTRO ABONOS'!$B$8:$BC$10012,54,0)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7"/>
        <v>105000</v>
      </c>
      <c r="K7830" t="e">
        <f>VLOOKUP(B7830,'REGISTRO ABONOS'!$B$8:$BC$10012,54,0)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7"/>
        <v>105000</v>
      </c>
      <c r="K7831" t="e">
        <f>VLOOKUP(B7831,'REGISTRO ABONOS'!$B$8:$BC$10012,54,0)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7"/>
        <v>105000</v>
      </c>
      <c r="K7832" t="e">
        <f>VLOOKUP(B7832,'REGISTRO ABONOS'!$B$8:$BC$10012,54,0)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7"/>
        <v>105000</v>
      </c>
      <c r="K7833" t="e">
        <f>VLOOKUP(B7833,'REGISTRO ABONOS'!$B$8:$BC$10012,54,0)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7"/>
        <v>105000</v>
      </c>
      <c r="K7834" t="e">
        <f>VLOOKUP(B7834,'REGISTRO ABONOS'!$B$8:$BC$10012,54,0)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7"/>
        <v>105000</v>
      </c>
      <c r="K7835" t="e">
        <f>VLOOKUP(B7835,'REGISTRO ABONOS'!$B$8:$BC$10012,54,0)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7"/>
        <v>105000</v>
      </c>
      <c r="K7836" t="e">
        <f>VLOOKUP(B7836,'REGISTRO ABONOS'!$B$8:$BC$10012,54,0)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7"/>
        <v>105000</v>
      </c>
      <c r="K7837" t="e">
        <f>VLOOKUP(B7837,'REGISTRO ABONOS'!$B$8:$BC$10012,54,0)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7"/>
        <v>105000</v>
      </c>
      <c r="K7838" t="e">
        <f>VLOOKUP(B7838,'REGISTRO ABONOS'!$B$8:$BC$10012,54,0)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7"/>
        <v>105000</v>
      </c>
      <c r="K7839" t="e">
        <f>VLOOKUP(B7839,'REGISTRO ABONOS'!$B$8:$BC$10012,54,0)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7"/>
        <v>105000</v>
      </c>
      <c r="K7840" t="e">
        <f>VLOOKUP(B7840,'REGISTRO ABONOS'!$B$8:$BC$10012,54,0)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7"/>
        <v>105000</v>
      </c>
      <c r="K7841" t="e">
        <f>VLOOKUP(B7841,'REGISTRO ABONOS'!$B$8:$BC$10012,54,0)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7"/>
        <v>105000</v>
      </c>
      <c r="K7842" t="e">
        <f>VLOOKUP(B7842,'REGISTRO ABONOS'!$B$8:$BC$10012,54,0)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7"/>
        <v>105000</v>
      </c>
      <c r="K7843" t="e">
        <f>VLOOKUP(B7843,'REGISTRO ABONOS'!$B$8:$BC$10012,54,0)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7"/>
        <v>105000</v>
      </c>
      <c r="K7844" t="e">
        <f>VLOOKUP(B7844,'REGISTRO ABONOS'!$B$8:$BC$10012,54,0)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7"/>
        <v>105000</v>
      </c>
      <c r="K7845" t="e">
        <f>VLOOKUP(B7845,'REGISTRO ABONOS'!$B$8:$BC$10012,54,0)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7"/>
        <v>105000</v>
      </c>
      <c r="K7846" t="e">
        <f>VLOOKUP(B7846,'REGISTRO ABONOS'!$B$8:$BC$10012,54,0)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7"/>
        <v>105000</v>
      </c>
      <c r="K7847" t="e">
        <f>VLOOKUP(B7847,'REGISTRO ABONOS'!$B$8:$BC$10012,54,0)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7"/>
        <v>105000</v>
      </c>
      <c r="K7848" t="e">
        <f>VLOOKUP(B7848,'REGISTRO ABONOS'!$B$8:$BC$10012,54,0)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7"/>
        <v>105000</v>
      </c>
      <c r="K7849" t="e">
        <f>VLOOKUP(B7849,'REGISTRO ABONOS'!$B$8:$BC$10012,54,0)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7"/>
        <v>105000</v>
      </c>
      <c r="K7850" t="e">
        <f>VLOOKUP(B7850,'REGISTRO ABONOS'!$B$8:$BC$10012,54,0)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7"/>
        <v>105000</v>
      </c>
      <c r="K7851" t="e">
        <f>VLOOKUP(B7851,'REGISTRO ABONOS'!$B$8:$BC$10012,54,0)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7"/>
        <v>105000</v>
      </c>
      <c r="K7852" t="e">
        <f>VLOOKUP(B7852,'REGISTRO ABONOS'!$B$8:$BC$10012,54,0)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7"/>
        <v>105000</v>
      </c>
      <c r="K7853" t="e">
        <f>VLOOKUP(B7853,'REGISTRO ABONOS'!$B$8:$BC$10012,54,0)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7"/>
        <v>105000</v>
      </c>
      <c r="K7854" t="e">
        <f>VLOOKUP(B7854,'REGISTRO ABONOS'!$B$8:$BC$10012,54,0)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7"/>
        <v>105000</v>
      </c>
      <c r="K7855" t="e">
        <f>VLOOKUP(B7855,'REGISTRO ABONOS'!$B$8:$BC$10012,54,0)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ABONOS'!$B$8:$BC$10012,54,0)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8"/>
        <v>105000</v>
      </c>
      <c r="K7857" t="e">
        <f>VLOOKUP(B7857,'REGISTRO ABONOS'!$B$8:$BC$10012,54,0)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J7858">
        <f t="shared" si="128"/>
        <v>105000</v>
      </c>
      <c r="K7858" t="e">
        <f>VLOOKUP(B7858,'REGISTRO ABONOS'!$B$8:$BC$10012,54,0)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8"/>
        <v>105000</v>
      </c>
      <c r="K7859" t="e">
        <f>VLOOKUP(B7859,'REGISTRO ABONOS'!$B$8:$BC$10012,54,0)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8"/>
        <v>105000</v>
      </c>
      <c r="K7860" t="e">
        <f>VLOOKUP(B7860,'REGISTRO ABONOS'!$B$8:$BC$10012,54,0)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8"/>
        <v>105000</v>
      </c>
      <c r="K7861" t="e">
        <f>VLOOKUP(B7861,'REGISTRO ABONOS'!$B$8:$BC$10012,54,0)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8"/>
        <v>105000</v>
      </c>
      <c r="K7862" t="e">
        <f>VLOOKUP(B7862,'REGISTRO ABONOS'!$B$8:$BC$10012,54,0)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8"/>
        <v>105000</v>
      </c>
      <c r="K7863" t="e">
        <f>VLOOKUP(B7863,'REGISTRO ABONOS'!$B$8:$BC$10012,54,0)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8"/>
        <v>105000</v>
      </c>
      <c r="K7864" t="e">
        <f>VLOOKUP(B7864,'REGISTRO ABONOS'!$B$8:$BC$10012,54,0)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8"/>
        <v>105000</v>
      </c>
      <c r="K7865" t="e">
        <f>VLOOKUP(B7865,'REGISTRO ABONOS'!$B$8:$BC$10012,54,0)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J7866">
        <f t="shared" si="128"/>
        <v>105000</v>
      </c>
      <c r="K7866" t="e">
        <f>VLOOKUP(B7866,'REGISTRO ABONOS'!$B$8:$BC$10012,54,0)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8"/>
        <v>105000</v>
      </c>
      <c r="K7867" t="e">
        <f>VLOOKUP(B7867,'REGISTRO ABONOS'!$B$8:$BC$10012,54,0)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8"/>
        <v>105000</v>
      </c>
      <c r="K7868" t="e">
        <f>VLOOKUP(B7868,'REGISTRO ABONOS'!$B$8:$BC$10012,54,0)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8"/>
        <v>105000</v>
      </c>
      <c r="K7869" t="e">
        <f>VLOOKUP(B7869,'REGISTRO ABONOS'!$B$8:$BC$10012,54,0)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8"/>
        <v>105000</v>
      </c>
      <c r="K7870" t="e">
        <f>VLOOKUP(B7870,'REGISTRO ABONOS'!$B$8:$BC$10012,54,0)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8"/>
        <v>105000</v>
      </c>
      <c r="K7871" t="e">
        <f>VLOOKUP(B7871,'REGISTRO ABONOS'!$B$8:$BC$10012,54,0)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8"/>
        <v>105000</v>
      </c>
      <c r="K7872" t="e">
        <f>VLOOKUP(B7872,'REGISTRO ABONOS'!$B$8:$BC$10012,54,0)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8"/>
        <v>105000</v>
      </c>
      <c r="K7873" t="e">
        <f>VLOOKUP(B7873,'REGISTRO ABONOS'!$B$8:$BC$10012,54,0)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J7874">
        <f t="shared" si="128"/>
        <v>105000</v>
      </c>
      <c r="K7874" t="e">
        <f>VLOOKUP(B7874,'REGISTRO ABONOS'!$B$8:$BC$10012,54,0)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8"/>
        <v>105000</v>
      </c>
      <c r="K7875" t="e">
        <f>VLOOKUP(B7875,'REGISTRO ABONOS'!$B$8:$BC$10012,54,0)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8"/>
        <v>105000</v>
      </c>
      <c r="K7876" t="e">
        <f>VLOOKUP(B7876,'REGISTRO ABONOS'!$B$8:$BC$10012,54,0)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8"/>
        <v>105000</v>
      </c>
      <c r="K7877" t="e">
        <f>VLOOKUP(B7877,'REGISTRO ABONOS'!$B$8:$BC$10012,54,0)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8"/>
        <v>105000</v>
      </c>
      <c r="K7878" t="e">
        <f>VLOOKUP(B7878,'REGISTRO ABONOS'!$B$8:$BC$10012,54,0)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8"/>
        <v>105000</v>
      </c>
      <c r="K7879" t="e">
        <f>VLOOKUP(B7879,'REGISTRO ABONOS'!$B$8:$BC$10012,54,0)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8"/>
        <v>105000</v>
      </c>
      <c r="K7880" t="e">
        <f>VLOOKUP(B7880,'REGISTRO ABONOS'!$B$8:$BC$10012,54,0)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8"/>
        <v>105000</v>
      </c>
      <c r="K7881" t="e">
        <f>VLOOKUP(B7881,'REGISTRO ABONOS'!$B$8:$BC$10012,54,0)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8"/>
        <v>105000</v>
      </c>
      <c r="K7882" t="e">
        <f>VLOOKUP(B7882,'REGISTRO ABONOS'!$B$8:$BC$10012,54,0)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8"/>
        <v>105000</v>
      </c>
      <c r="K7883" t="e">
        <f>VLOOKUP(B7883,'REGISTRO ABONOS'!$B$8:$BC$10012,54,0)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8"/>
        <v>105000</v>
      </c>
      <c r="K7884" t="e">
        <f>VLOOKUP(B7884,'REGISTRO ABONOS'!$B$8:$BC$10012,54,0)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8"/>
        <v>105000</v>
      </c>
      <c r="K7885" t="e">
        <f>VLOOKUP(B7885,'REGISTRO ABONOS'!$B$8:$BC$10012,54,0)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8"/>
        <v>105000</v>
      </c>
      <c r="K7886" t="e">
        <f>VLOOKUP(B7886,'REGISTRO ABONOS'!$B$8:$BC$10012,54,0)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8"/>
        <v>105000</v>
      </c>
      <c r="K7887" t="e">
        <f>VLOOKUP(B7887,'REGISTRO ABONOS'!$B$8:$BC$10012,54,0)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8"/>
        <v>105000</v>
      </c>
      <c r="K7888" t="e">
        <f>VLOOKUP(B7888,'REGISTRO ABONOS'!$B$8:$BC$10012,54,0)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8"/>
        <v>105000</v>
      </c>
      <c r="K7889" t="e">
        <f>VLOOKUP(B7889,'REGISTRO ABONOS'!$B$8:$BC$10012,54,0)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8"/>
        <v>105000</v>
      </c>
      <c r="K7890" t="e">
        <f>VLOOKUP(B7890,'REGISTRO ABONOS'!$B$8:$BC$10012,54,0)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8"/>
        <v>105000</v>
      </c>
      <c r="K7891" t="e">
        <f>VLOOKUP(B7891,'REGISTRO ABONOS'!$B$8:$BC$10012,54,0)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8"/>
        <v>105000</v>
      </c>
      <c r="K7892" t="e">
        <f>VLOOKUP(B7892,'REGISTRO ABONOS'!$B$8:$BC$10012,54,0)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8"/>
        <v>105000</v>
      </c>
      <c r="K7893" t="e">
        <f>VLOOKUP(B7893,'REGISTRO ABONOS'!$B$8:$BC$10012,54,0)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8"/>
        <v>105000</v>
      </c>
      <c r="K7894" t="e">
        <f>VLOOKUP(B7894,'REGISTRO ABONOS'!$B$8:$BC$10012,54,0)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8"/>
        <v>105000</v>
      </c>
      <c r="K7895" t="e">
        <f>VLOOKUP(B7895,'REGISTRO ABONOS'!$B$8:$BC$10012,54,0)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8"/>
        <v>105000</v>
      </c>
      <c r="K7896" t="e">
        <f>VLOOKUP(B7896,'REGISTRO ABONOS'!$B$8:$BC$10012,54,0)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8"/>
        <v>105000</v>
      </c>
      <c r="K7897" t="e">
        <f>VLOOKUP(B7897,'REGISTRO ABONOS'!$B$8:$BC$10012,54,0)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8"/>
        <v>105000</v>
      </c>
      <c r="K7898" t="e">
        <f>VLOOKUP(B7898,'REGISTRO ABONOS'!$B$8:$BC$10012,54,0)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8"/>
        <v>105000</v>
      </c>
      <c r="K7899" t="e">
        <f>VLOOKUP(B7899,'REGISTRO ABONOS'!$B$8:$BC$10012,54,0)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8"/>
        <v>105000</v>
      </c>
      <c r="K7900" t="e">
        <f>VLOOKUP(B7900,'REGISTRO ABONOS'!$B$8:$BC$10012,54,0)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8"/>
        <v>105000</v>
      </c>
      <c r="K7901" t="e">
        <f>VLOOKUP(B7901,'REGISTRO ABONOS'!$B$8:$BC$10012,54,0)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8"/>
        <v>105000</v>
      </c>
      <c r="K7902" t="e">
        <f>VLOOKUP(B7902,'REGISTRO ABONOS'!$B$8:$BC$10012,54,0)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8"/>
        <v>105000</v>
      </c>
      <c r="K7903" t="e">
        <f>VLOOKUP(B7903,'REGISTRO ABONOS'!$B$8:$BC$10012,54,0)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8"/>
        <v>105000</v>
      </c>
      <c r="K7904" t="e">
        <f>VLOOKUP(B7904,'REGISTRO ABONOS'!$B$8:$BC$10012,54,0)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8"/>
        <v>105000</v>
      </c>
      <c r="K7905" t="e">
        <f>VLOOKUP(B7905,'REGISTRO ABONOS'!$B$8:$BC$10012,54,0)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8"/>
        <v>105000</v>
      </c>
      <c r="K7906" t="e">
        <f>VLOOKUP(B7906,'REGISTRO ABONOS'!$B$8:$BC$10012,54,0)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8"/>
        <v>105000</v>
      </c>
      <c r="K7907" t="e">
        <f>VLOOKUP(B7907,'REGISTRO ABONOS'!$B$8:$BC$10012,54,0)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8"/>
        <v>105000</v>
      </c>
      <c r="K7908" t="e">
        <f>VLOOKUP(B7908,'REGISTRO ABONOS'!$B$8:$BC$10012,54,0)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8"/>
        <v>105000</v>
      </c>
      <c r="K7909" t="e">
        <f>VLOOKUP(B7909,'REGISTRO ABONOS'!$B$8:$BC$10012,54,0)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8"/>
        <v>105000</v>
      </c>
      <c r="K7910" t="e">
        <f>VLOOKUP(B7910,'REGISTRO ABONOS'!$B$8:$BC$10012,54,0)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8"/>
        <v>105000</v>
      </c>
      <c r="K7911" t="e">
        <f>VLOOKUP(B7911,'REGISTRO ABONOS'!$B$8:$BC$10012,54,0)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8"/>
        <v>105000</v>
      </c>
      <c r="K7912" t="e">
        <f>VLOOKUP(B7912,'REGISTRO ABONOS'!$B$8:$BC$10012,54,0)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8"/>
        <v>105000</v>
      </c>
      <c r="K7913" t="e">
        <f>VLOOKUP(B7913,'REGISTRO ABONOS'!$B$8:$BC$10012,54,0)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8"/>
        <v>105000</v>
      </c>
      <c r="K7914" t="e">
        <f>VLOOKUP(B7914,'REGISTRO ABONOS'!$B$8:$BC$10012,54,0)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8"/>
        <v>105000</v>
      </c>
      <c r="K7915" t="e">
        <f>VLOOKUP(B7915,'REGISTRO ABONOS'!$B$8:$BC$10012,54,0)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8"/>
        <v>105000</v>
      </c>
      <c r="K7916" t="e">
        <f>VLOOKUP(B7916,'REGISTRO ABONOS'!$B$8:$BC$10012,54,0)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8"/>
        <v>105000</v>
      </c>
      <c r="K7917" t="e">
        <f>VLOOKUP(B7917,'REGISTRO ABONOS'!$B$8:$BC$10012,54,0)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8"/>
        <v>105000</v>
      </c>
      <c r="K7918" t="e">
        <f>VLOOKUP(B7918,'REGISTRO ABONOS'!$B$8:$BC$10012,54,0)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8"/>
        <v>105000</v>
      </c>
      <c r="K7919" t="e">
        <f>VLOOKUP(B7919,'REGISTRO ABONOS'!$B$8:$BC$10012,54,0)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ABONOS'!$B$8:$BC$10012,54,0)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9"/>
        <v>105000</v>
      </c>
      <c r="K7921" t="e">
        <f>VLOOKUP(B7921,'REGISTRO ABONOS'!$B$8:$BC$10012,54,0)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9"/>
        <v>105000</v>
      </c>
      <c r="K7922" t="e">
        <f>VLOOKUP(B7922,'REGISTRO ABONOS'!$B$8:$BC$10012,54,0)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9"/>
        <v>105000</v>
      </c>
      <c r="K7923" t="e">
        <f>VLOOKUP(B7923,'REGISTRO ABONOS'!$B$8:$BC$10012,54,0)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9"/>
        <v>105000</v>
      </c>
      <c r="K7924" t="e">
        <f>VLOOKUP(B7924,'REGISTRO ABONOS'!$B$8:$BC$10012,54,0)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9"/>
        <v>105000</v>
      </c>
      <c r="K7925" t="e">
        <f>VLOOKUP(B7925,'REGISTRO ABONOS'!$B$8:$BC$10012,54,0)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9"/>
        <v>105000</v>
      </c>
      <c r="K7926" t="e">
        <f>VLOOKUP(B7926,'REGISTRO ABONOS'!$B$8:$BC$10012,54,0)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9"/>
        <v>105000</v>
      </c>
      <c r="K7927" t="e">
        <f>VLOOKUP(B7927,'REGISTRO ABONOS'!$B$8:$BC$10012,54,0)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9"/>
        <v>105000</v>
      </c>
      <c r="K7928" t="e">
        <f>VLOOKUP(B7928,'REGISTRO ABONOS'!$B$8:$BC$10012,54,0)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9"/>
        <v>105000</v>
      </c>
      <c r="K7929" t="e">
        <f>VLOOKUP(B7929,'REGISTRO ABONOS'!$B$8:$BC$10012,54,0)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9"/>
        <v>105000</v>
      </c>
      <c r="K7930" t="e">
        <f>VLOOKUP(B7930,'REGISTRO ABONOS'!$B$8:$BC$10012,54,0)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9"/>
        <v>105000</v>
      </c>
      <c r="K7931" t="e">
        <f>VLOOKUP(B7931,'REGISTRO ABONOS'!$B$8:$BC$10012,54,0)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9"/>
        <v>105000</v>
      </c>
      <c r="K7932" t="e">
        <f>VLOOKUP(B7932,'REGISTRO ABONOS'!$B$8:$BC$10012,54,0)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9"/>
        <v>105000</v>
      </c>
      <c r="K7933" t="e">
        <f>VLOOKUP(B7933,'REGISTRO ABONOS'!$B$8:$BC$10012,54,0)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9"/>
        <v>105000</v>
      </c>
      <c r="K7934" t="e">
        <f>VLOOKUP(B7934,'REGISTRO ABONOS'!$B$8:$BC$10012,54,0)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9"/>
        <v>105000</v>
      </c>
      <c r="K7935" t="e">
        <f>VLOOKUP(B7935,'REGISTRO ABONOS'!$B$8:$BC$10012,54,0)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9"/>
        <v>105000</v>
      </c>
      <c r="K7936" t="e">
        <f>VLOOKUP(B7936,'REGISTRO ABONOS'!$B$8:$BC$10012,54,0)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9"/>
        <v>105000</v>
      </c>
      <c r="K7937" t="e">
        <f>VLOOKUP(B7937,'REGISTRO ABONOS'!$B$8:$BC$10012,54,0)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9"/>
        <v>105000</v>
      </c>
      <c r="K7938" t="e">
        <f>VLOOKUP(B7938,'REGISTRO ABONOS'!$B$8:$BC$10012,54,0)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9"/>
        <v>105000</v>
      </c>
      <c r="K7939" t="e">
        <f>VLOOKUP(B7939,'REGISTRO ABONOS'!$B$8:$BC$10012,54,0)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9"/>
        <v>105000</v>
      </c>
      <c r="K7940" t="e">
        <f>VLOOKUP(B7940,'REGISTRO ABONOS'!$B$8:$BC$10012,54,0)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9"/>
        <v>105000</v>
      </c>
      <c r="K7941" t="e">
        <f>VLOOKUP(B7941,'REGISTRO ABONOS'!$B$8:$BC$10012,54,0)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9"/>
        <v>105000</v>
      </c>
      <c r="K7942" t="e">
        <f>VLOOKUP(B7942,'REGISTRO ABONOS'!$B$8:$BC$10012,54,0)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9"/>
        <v>105000</v>
      </c>
      <c r="K7943" t="e">
        <f>VLOOKUP(B7943,'REGISTRO ABONOS'!$B$8:$BC$10012,54,0)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9"/>
        <v>105000</v>
      </c>
      <c r="K7944" t="e">
        <f>VLOOKUP(B7944,'REGISTRO ABONOS'!$B$8:$BC$10012,54,0)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9"/>
        <v>105000</v>
      </c>
      <c r="K7945" t="e">
        <f>VLOOKUP(B7945,'REGISTRO ABONOS'!$B$8:$BC$10012,54,0)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9"/>
        <v>105000</v>
      </c>
      <c r="K7946" t="e">
        <f>VLOOKUP(B7946,'REGISTRO ABONOS'!$B$8:$BC$10012,54,0)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9"/>
        <v>105000</v>
      </c>
      <c r="K7947" t="e">
        <f>VLOOKUP(B7947,'REGISTRO ABONOS'!$B$8:$BC$10012,54,0)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9"/>
        <v>105000</v>
      </c>
      <c r="K7948" t="e">
        <f>VLOOKUP(B7948,'REGISTRO ABONOS'!$B$8:$BC$10012,54,0)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9"/>
        <v>105000</v>
      </c>
      <c r="K7949" t="e">
        <f>VLOOKUP(B7949,'REGISTRO ABONOS'!$B$8:$BC$10012,54,0)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9"/>
        <v>105000</v>
      </c>
      <c r="K7950" t="e">
        <f>VLOOKUP(B7950,'REGISTRO ABONOS'!$B$8:$BC$10012,54,0)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9"/>
        <v>105000</v>
      </c>
      <c r="K7951" t="e">
        <f>VLOOKUP(B7951,'REGISTRO ABONOS'!$B$8:$BC$10012,54,0)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9"/>
        <v>105000</v>
      </c>
      <c r="K7952" t="e">
        <f>VLOOKUP(B7952,'REGISTRO ABONOS'!$B$8:$BC$10012,54,0)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9"/>
        <v>105000</v>
      </c>
      <c r="K7953" t="e">
        <f>VLOOKUP(B7953,'REGISTRO ABONOS'!$B$8:$BC$10012,54,0)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9"/>
        <v>105000</v>
      </c>
      <c r="K7954" t="e">
        <f>VLOOKUP(B7954,'REGISTRO ABONOS'!$B$8:$BC$10012,54,0)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9"/>
        <v>105000</v>
      </c>
      <c r="K7955" t="e">
        <f>VLOOKUP(B7955,'REGISTRO ABONOS'!$B$8:$BC$10012,54,0)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9"/>
        <v>105000</v>
      </c>
      <c r="K7956" t="e">
        <f>VLOOKUP(B7956,'REGISTRO ABONOS'!$B$8:$BC$10012,54,0)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9"/>
        <v>105000</v>
      </c>
      <c r="K7957" t="e">
        <f>VLOOKUP(B7957,'REGISTRO ABONOS'!$B$8:$BC$10012,54,0)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9"/>
        <v>105000</v>
      </c>
      <c r="K7958" t="e">
        <f>VLOOKUP(B7958,'REGISTRO ABONOS'!$B$8:$BC$10012,54,0)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9"/>
        <v>105000</v>
      </c>
      <c r="K7959" t="e">
        <f>VLOOKUP(B7959,'REGISTRO ABONOS'!$B$8:$BC$10012,54,0)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9"/>
        <v>105000</v>
      </c>
      <c r="K7960" t="e">
        <f>VLOOKUP(B7960,'REGISTRO ABONOS'!$B$8:$BC$10012,54,0)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9"/>
        <v>105000</v>
      </c>
      <c r="K7961" t="e">
        <f>VLOOKUP(B7961,'REGISTRO ABONOS'!$B$8:$BC$10012,54,0)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9"/>
        <v>105000</v>
      </c>
      <c r="K7962" t="e">
        <f>VLOOKUP(B7962,'REGISTRO ABONOS'!$B$8:$BC$10012,54,0)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9"/>
        <v>105000</v>
      </c>
      <c r="K7963" t="e">
        <f>VLOOKUP(B7963,'REGISTRO ABONOS'!$B$8:$BC$10012,54,0)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9"/>
        <v>105000</v>
      </c>
      <c r="K7964" t="e">
        <f>VLOOKUP(B7964,'REGISTRO ABONOS'!$B$8:$BC$10012,54,0)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9"/>
        <v>105000</v>
      </c>
      <c r="K7965" t="e">
        <f>VLOOKUP(B7965,'REGISTRO ABONOS'!$B$8:$BC$10012,54,0)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9"/>
        <v>105000</v>
      </c>
      <c r="K7966" t="e">
        <f>VLOOKUP(B7966,'REGISTRO ABONOS'!$B$8:$BC$10012,54,0)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9"/>
        <v>105000</v>
      </c>
      <c r="K7967" t="e">
        <f>VLOOKUP(B7967,'REGISTRO ABONOS'!$B$8:$BC$10012,54,0)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9"/>
        <v>105000</v>
      </c>
      <c r="K7968" t="e">
        <f>VLOOKUP(B7968,'REGISTRO ABONOS'!$B$8:$BC$10012,54,0)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9"/>
        <v>105000</v>
      </c>
      <c r="K7969" t="e">
        <f>VLOOKUP(B7969,'REGISTRO ABONOS'!$B$8:$BC$10012,54,0)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9"/>
        <v>105000</v>
      </c>
      <c r="K7970" t="e">
        <f>VLOOKUP(B7970,'REGISTRO ABONOS'!$B$8:$BC$10012,54,0)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9"/>
        <v>105000</v>
      </c>
      <c r="K7971" t="e">
        <f>VLOOKUP(B7971,'REGISTRO ABONOS'!$B$8:$BC$10012,54,0)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9"/>
        <v>105000</v>
      </c>
      <c r="K7972" t="e">
        <f>VLOOKUP(B7972,'REGISTRO ABONOS'!$B$8:$BC$10012,54,0)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9"/>
        <v>105000</v>
      </c>
      <c r="K7973" t="e">
        <f>VLOOKUP(B7973,'REGISTRO ABONOS'!$B$8:$BC$10012,54,0)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9"/>
        <v>105000</v>
      </c>
      <c r="K7974" t="e">
        <f>VLOOKUP(B7974,'REGISTRO ABONOS'!$B$8:$BC$10012,54,0)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9"/>
        <v>105000</v>
      </c>
      <c r="K7975" t="e">
        <f>VLOOKUP(B7975,'REGISTRO ABONOS'!$B$8:$BC$10012,54,0)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9"/>
        <v>105000</v>
      </c>
      <c r="K7976" t="e">
        <f>VLOOKUP(B7976,'REGISTRO ABONOS'!$B$8:$BC$10012,54,0)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9"/>
        <v>105000</v>
      </c>
      <c r="K7977" t="e">
        <f>VLOOKUP(B7977,'REGISTRO ABONOS'!$B$8:$BC$10012,54,0)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9"/>
        <v>105000</v>
      </c>
      <c r="K7978" t="e">
        <f>VLOOKUP(B7978,'REGISTRO ABONOS'!$B$8:$BC$10012,54,0)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9"/>
        <v>105000</v>
      </c>
      <c r="K7979" t="e">
        <f>VLOOKUP(B7979,'REGISTRO ABONOS'!$B$8:$BC$10012,54,0)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9"/>
        <v>105000</v>
      </c>
      <c r="K7980" t="e">
        <f>VLOOKUP(B7980,'REGISTRO ABONOS'!$B$8:$BC$10012,54,0)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9"/>
        <v>105000</v>
      </c>
      <c r="K7981" t="e">
        <f>VLOOKUP(B7981,'REGISTRO ABONOS'!$B$8:$BC$10012,54,0)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9"/>
        <v>105000</v>
      </c>
      <c r="K7982" t="e">
        <f>VLOOKUP(B7982,'REGISTRO ABONOS'!$B$8:$BC$10012,54,0)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9"/>
        <v>105000</v>
      </c>
      <c r="K7983" t="e">
        <f>VLOOKUP(B7983,'REGISTRO ABONOS'!$B$8:$BC$10012,54,0)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ABONOS'!$B$8:$BC$10012,54,0)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30"/>
        <v>105000</v>
      </c>
      <c r="K7985" t="e">
        <f>VLOOKUP(B7985,'REGISTRO ABONOS'!$B$8:$BC$10012,54,0)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30"/>
        <v>105000</v>
      </c>
      <c r="K7986" t="e">
        <f>VLOOKUP(B7986,'REGISTRO ABONOS'!$B$8:$BC$10012,54,0)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30"/>
        <v>105000</v>
      </c>
      <c r="K7987" t="e">
        <f>VLOOKUP(B7987,'REGISTRO ABONOS'!$B$8:$BC$10012,54,0)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30"/>
        <v>105000</v>
      </c>
      <c r="K7988" t="e">
        <f>VLOOKUP(B7988,'REGISTRO ABONOS'!$B$8:$BC$10012,54,0)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30"/>
        <v>105000</v>
      </c>
      <c r="K7989" t="e">
        <f>VLOOKUP(B7989,'REGISTRO ABONOS'!$B$8:$BC$10012,54,0)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30"/>
        <v>105000</v>
      </c>
      <c r="K7990" t="e">
        <f>VLOOKUP(B7990,'REGISTRO ABONOS'!$B$8:$BC$10012,54,0)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30"/>
        <v>105000</v>
      </c>
      <c r="K7991" t="e">
        <f>VLOOKUP(B7991,'REGISTRO ABONOS'!$B$8:$BC$10012,54,0)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30"/>
        <v>105000</v>
      </c>
      <c r="K7992" t="e">
        <f>VLOOKUP(B7992,'REGISTRO ABONOS'!$B$8:$BC$10012,54,0)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30"/>
        <v>105000</v>
      </c>
      <c r="K7993" t="e">
        <f>VLOOKUP(B7993,'REGISTRO ABONOS'!$B$8:$BC$10012,54,0)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30"/>
        <v>105000</v>
      </c>
      <c r="K7994" t="e">
        <f>VLOOKUP(B7994,'REGISTRO ABONOS'!$B$8:$BC$10012,54,0)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30"/>
        <v>105000</v>
      </c>
      <c r="K7995" t="e">
        <f>VLOOKUP(B7995,'REGISTRO ABONOS'!$B$8:$BC$10012,54,0)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30"/>
        <v>105000</v>
      </c>
      <c r="K7996" t="e">
        <f>VLOOKUP(B7996,'REGISTRO ABONOS'!$B$8:$BC$10012,54,0)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30"/>
        <v>105000</v>
      </c>
      <c r="K7997" t="e">
        <f>VLOOKUP(B7997,'REGISTRO ABONOS'!$B$8:$BC$10012,54,0)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30"/>
        <v>105000</v>
      </c>
      <c r="K7998" t="e">
        <f>VLOOKUP(B7998,'REGISTRO ABONOS'!$B$8:$BC$10012,54,0)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30"/>
        <v>105000</v>
      </c>
      <c r="K7999" t="e">
        <f>VLOOKUP(B7999,'REGISTRO ABONOS'!$B$8:$BC$10012,54,0)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30"/>
        <v>105000</v>
      </c>
      <c r="K8000" t="e">
        <f>VLOOKUP(B8000,'REGISTRO ABONOS'!$B$8:$BC$10012,54,0)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30"/>
        <v>105000</v>
      </c>
      <c r="K8001" t="e">
        <f>VLOOKUP(B8001,'REGISTRO ABONOS'!$B$8:$BC$10012,54,0)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30"/>
        <v>105000</v>
      </c>
      <c r="K8002" t="e">
        <f>VLOOKUP(B8002,'REGISTRO ABONOS'!$B$8:$BC$10012,54,0)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30"/>
        <v>105000</v>
      </c>
      <c r="K8003" t="e">
        <f>VLOOKUP(B8003,'REGISTRO ABONOS'!$B$8:$BC$10012,54,0)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30"/>
        <v>105000</v>
      </c>
      <c r="K8004" t="e">
        <f>VLOOKUP(B8004,'REGISTRO ABONOS'!$B$8:$BC$10012,54,0)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30"/>
        <v>105000</v>
      </c>
      <c r="K8005" t="e">
        <f>VLOOKUP(B8005,'REGISTRO ABONOS'!$B$8:$BC$10012,54,0)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30"/>
        <v>105000</v>
      </c>
      <c r="K8006" t="e">
        <f>VLOOKUP(B8006,'REGISTRO ABONOS'!$B$8:$BC$10012,54,0)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30"/>
        <v>105000</v>
      </c>
      <c r="K8007" t="e">
        <f>VLOOKUP(B8007,'REGISTRO ABONOS'!$B$8:$BC$10012,54,0)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30"/>
        <v>105000</v>
      </c>
      <c r="K8008" t="e">
        <f>VLOOKUP(B8008,'REGISTRO ABONOS'!$B$8:$BC$10012,54,0)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30"/>
        <v>105000</v>
      </c>
      <c r="K8009" t="e">
        <f>VLOOKUP(B8009,'REGISTRO ABONOS'!$B$8:$BC$10012,54,0)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30"/>
        <v>105000</v>
      </c>
      <c r="K8010" t="e">
        <f>VLOOKUP(B8010,'REGISTRO ABONOS'!$B$8:$BC$10012,54,0)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30"/>
        <v>105000</v>
      </c>
      <c r="K8011" t="e">
        <f>VLOOKUP(B8011,'REGISTRO ABONOS'!$B$8:$BC$10012,54,0)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30"/>
        <v>105000</v>
      </c>
      <c r="K8012" t="e">
        <f>VLOOKUP(B8012,'REGISTRO ABONOS'!$B$8:$BC$10012,54,0)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30"/>
        <v>105000</v>
      </c>
      <c r="K8013" t="e">
        <f>VLOOKUP(B8013,'REGISTRO ABONOS'!$B$8:$BC$10012,54,0)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30"/>
        <v>105000</v>
      </c>
      <c r="K8014" t="e">
        <f>VLOOKUP(B8014,'REGISTRO ABONOS'!$B$8:$BC$10012,54,0)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30"/>
        <v>105000</v>
      </c>
      <c r="K8015" t="e">
        <f>VLOOKUP(B8015,'REGISTRO ABONOS'!$B$8:$BC$10012,54,0)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30"/>
        <v>105000</v>
      </c>
      <c r="K8016" t="e">
        <f>VLOOKUP(B8016,'REGISTRO ABONOS'!$B$8:$BC$10012,54,0)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30"/>
        <v>105000</v>
      </c>
      <c r="K8017" t="e">
        <f>VLOOKUP(B8017,'REGISTRO ABONOS'!$B$8:$BC$10012,54,0)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30"/>
        <v>105000</v>
      </c>
      <c r="K8018" t="e">
        <f>VLOOKUP(B8018,'REGISTRO ABONOS'!$B$8:$BC$10012,54,0)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30"/>
        <v>105000</v>
      </c>
      <c r="K8019" t="e">
        <f>VLOOKUP(B8019,'REGISTRO ABONOS'!$B$8:$BC$10012,54,0)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30"/>
        <v>105000</v>
      </c>
      <c r="K8020" t="e">
        <f>VLOOKUP(B8020,'REGISTRO ABONOS'!$B$8:$BC$10012,54,0)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30"/>
        <v>105000</v>
      </c>
      <c r="K8021" t="e">
        <f>VLOOKUP(B8021,'REGISTRO ABONOS'!$B$8:$BC$10012,54,0)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30"/>
        <v>105000</v>
      </c>
      <c r="K8022" t="e">
        <f>VLOOKUP(B8022,'REGISTRO ABONOS'!$B$8:$BC$10012,54,0)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30"/>
        <v>105000</v>
      </c>
      <c r="K8023" t="e">
        <f>VLOOKUP(B8023,'REGISTRO ABONOS'!$B$8:$BC$10012,54,0)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30"/>
        <v>105000</v>
      </c>
      <c r="K8024" t="e">
        <f>VLOOKUP(B8024,'REGISTRO ABONOS'!$B$8:$BC$10012,54,0)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30"/>
        <v>105000</v>
      </c>
      <c r="K8025" t="e">
        <f>VLOOKUP(B8025,'REGISTRO ABONOS'!$B$8:$BC$10012,54,0)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30"/>
        <v>105000</v>
      </c>
      <c r="K8026" t="e">
        <f>VLOOKUP(B8026,'REGISTRO ABONOS'!$B$8:$BC$10012,54,0)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30"/>
        <v>105000</v>
      </c>
      <c r="K8027" t="e">
        <f>VLOOKUP(B8027,'REGISTRO ABONOS'!$B$8:$BC$10012,54,0)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30"/>
        <v>105000</v>
      </c>
      <c r="K8028" t="e">
        <f>VLOOKUP(B8028,'REGISTRO ABONOS'!$B$8:$BC$10012,54,0)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30"/>
        <v>105000</v>
      </c>
      <c r="K8029" t="e">
        <f>VLOOKUP(B8029,'REGISTRO ABONOS'!$B$8:$BC$10012,54,0)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30"/>
        <v>105000</v>
      </c>
      <c r="K8030" t="e">
        <f>VLOOKUP(B8030,'REGISTRO ABONOS'!$B$8:$BC$10012,54,0)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30"/>
        <v>105000</v>
      </c>
      <c r="K8031" t="e">
        <f>VLOOKUP(B8031,'REGISTRO ABONOS'!$B$8:$BC$10012,54,0)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30"/>
        <v>105000</v>
      </c>
      <c r="K8032" t="e">
        <f>VLOOKUP(B8032,'REGISTRO ABONOS'!$B$8:$BC$10012,54,0)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30"/>
        <v>105000</v>
      </c>
      <c r="K8033" t="e">
        <f>VLOOKUP(B8033,'REGISTRO ABONOS'!$B$8:$BC$10012,54,0)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30"/>
        <v>105000</v>
      </c>
      <c r="K8034" t="e">
        <f>VLOOKUP(B8034,'REGISTRO ABONOS'!$B$8:$BC$10012,54,0)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30"/>
        <v>105000</v>
      </c>
      <c r="K8035" t="e">
        <f>VLOOKUP(B8035,'REGISTRO ABONOS'!$B$8:$BC$10012,54,0)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30"/>
        <v>105000</v>
      </c>
      <c r="K8036" t="e">
        <f>VLOOKUP(B8036,'REGISTRO ABONOS'!$B$8:$BC$10012,54,0)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30"/>
        <v>105000</v>
      </c>
      <c r="K8037" t="e">
        <f>VLOOKUP(B8037,'REGISTRO ABONOS'!$B$8:$BC$10012,54,0)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30"/>
        <v>105000</v>
      </c>
      <c r="K8038" t="e">
        <f>VLOOKUP(B8038,'REGISTRO ABONOS'!$B$8:$BC$10012,54,0)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30"/>
        <v>105000</v>
      </c>
      <c r="K8039" t="e">
        <f>VLOOKUP(B8039,'REGISTRO ABONOS'!$B$8:$BC$10012,54,0)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30"/>
        <v>105000</v>
      </c>
      <c r="K8040" t="e">
        <f>VLOOKUP(B8040,'REGISTRO ABONOS'!$B$8:$BC$10012,54,0)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30"/>
        <v>105000</v>
      </c>
      <c r="K8041" t="e">
        <f>VLOOKUP(B8041,'REGISTRO ABONOS'!$B$8:$BC$10012,54,0)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30"/>
        <v>105000</v>
      </c>
      <c r="K8042" t="e">
        <f>VLOOKUP(B8042,'REGISTRO ABONOS'!$B$8:$BC$10012,54,0)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30"/>
        <v>105000</v>
      </c>
      <c r="K8043" t="e">
        <f>VLOOKUP(B8043,'REGISTRO ABONOS'!$B$8:$BC$10012,54,0)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30"/>
        <v>105000</v>
      </c>
      <c r="K8044" t="e">
        <f>VLOOKUP(B8044,'REGISTRO ABONOS'!$B$8:$BC$10012,54,0)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30"/>
        <v>105000</v>
      </c>
      <c r="K8045" t="e">
        <f>VLOOKUP(B8045,'REGISTRO ABONOS'!$B$8:$BC$10012,54,0)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30"/>
        <v>105000</v>
      </c>
      <c r="K8046" t="e">
        <f>VLOOKUP(B8046,'REGISTRO ABONOS'!$B$8:$BC$10012,54,0)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J8047">
        <f t="shared" si="130"/>
        <v>105000</v>
      </c>
      <c r="K8047" t="e">
        <f>VLOOKUP(B8047,'REGISTRO ABONOS'!$B$8:$BC$10012,54,0)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ABONOS'!$B$8:$BC$10012,54,0)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1"/>
        <v>105000</v>
      </c>
      <c r="K8049" t="e">
        <f>VLOOKUP(B8049,'REGISTRO ABONOS'!$B$8:$BC$10012,54,0)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1"/>
        <v>105000</v>
      </c>
      <c r="K8050" t="e">
        <f>VLOOKUP(B8050,'REGISTRO ABONOS'!$B$8:$BC$10012,54,0)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1"/>
        <v>105000</v>
      </c>
      <c r="K8051" t="e">
        <f>VLOOKUP(B8051,'REGISTRO ABONOS'!$B$8:$BC$10012,54,0)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1"/>
        <v>105000</v>
      </c>
      <c r="K8052" t="e">
        <f>VLOOKUP(B8052,'REGISTRO ABONOS'!$B$8:$BC$10012,54,0)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1"/>
        <v>105000</v>
      </c>
      <c r="K8053" t="e">
        <f>VLOOKUP(B8053,'REGISTRO ABONOS'!$B$8:$BC$10012,54,0)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1"/>
        <v>105000</v>
      </c>
      <c r="K8054" t="e">
        <f>VLOOKUP(B8054,'REGISTRO ABONOS'!$B$8:$BC$10012,54,0)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1"/>
        <v>105000</v>
      </c>
      <c r="K8055" t="e">
        <f>VLOOKUP(B8055,'REGISTRO ABONOS'!$B$8:$BC$10012,54,0)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1"/>
        <v>105000</v>
      </c>
      <c r="K8056" t="e">
        <f>VLOOKUP(B8056,'REGISTRO ABONOS'!$B$8:$BC$10012,54,0)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1"/>
        <v>105000</v>
      </c>
      <c r="K8057" t="e">
        <f>VLOOKUP(B8057,'REGISTRO ABONOS'!$B$8:$BC$10012,54,0)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1"/>
        <v>105000</v>
      </c>
      <c r="K8058" t="e">
        <f>VLOOKUP(B8058,'REGISTRO ABONOS'!$B$8:$BC$10012,54,0)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1"/>
        <v>105000</v>
      </c>
      <c r="K8059" t="e">
        <f>VLOOKUP(B8059,'REGISTRO ABONOS'!$B$8:$BC$10012,54,0)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1"/>
        <v>105000</v>
      </c>
      <c r="K8060" t="e">
        <f>VLOOKUP(B8060,'REGISTRO ABONOS'!$B$8:$BC$10012,54,0)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1"/>
        <v>105000</v>
      </c>
      <c r="K8061" t="e">
        <f>VLOOKUP(B8061,'REGISTRO ABONOS'!$B$8:$BC$10012,54,0)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1"/>
        <v>105000</v>
      </c>
      <c r="K8062" t="e">
        <f>VLOOKUP(B8062,'REGISTRO ABONOS'!$B$8:$BC$10012,54,0)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1"/>
        <v>105000</v>
      </c>
      <c r="K8063" t="e">
        <f>VLOOKUP(B8063,'REGISTRO ABONOS'!$B$8:$BC$10012,54,0)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1"/>
        <v>105000</v>
      </c>
      <c r="K8064" t="e">
        <f>VLOOKUP(B8064,'REGISTRO ABONOS'!$B$8:$BC$10012,54,0)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1"/>
        <v>105000</v>
      </c>
      <c r="K8065" t="e">
        <f>VLOOKUP(B8065,'REGISTRO ABONOS'!$B$8:$BC$10012,54,0)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1"/>
        <v>105000</v>
      </c>
      <c r="K8066" t="e">
        <f>VLOOKUP(B8066,'REGISTRO ABONOS'!$B$8:$BC$10012,54,0)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1"/>
        <v>105000</v>
      </c>
      <c r="K8067" t="e">
        <f>VLOOKUP(B8067,'REGISTRO ABONOS'!$B$8:$BC$10012,54,0)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1"/>
        <v>105000</v>
      </c>
      <c r="K8068" t="e">
        <f>VLOOKUP(B8068,'REGISTRO ABONOS'!$B$8:$BC$10012,54,0)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1"/>
        <v>105000</v>
      </c>
      <c r="K8069" t="e">
        <f>VLOOKUP(B8069,'REGISTRO ABONOS'!$B$8:$BC$10012,54,0)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1"/>
        <v>105000</v>
      </c>
      <c r="K8070" t="e">
        <f>VLOOKUP(B8070,'REGISTRO ABONOS'!$B$8:$BC$10012,54,0)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1"/>
        <v>105000</v>
      </c>
      <c r="K8071" t="e">
        <f>VLOOKUP(B8071,'REGISTRO ABONOS'!$B$8:$BC$10012,54,0)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1"/>
        <v>105000</v>
      </c>
      <c r="K8072" t="e">
        <f>VLOOKUP(B8072,'REGISTRO ABONOS'!$B$8:$BC$10012,54,0)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1"/>
        <v>105000</v>
      </c>
      <c r="K8073" t="e">
        <f>VLOOKUP(B8073,'REGISTRO ABONOS'!$B$8:$BC$10012,54,0)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1"/>
        <v>105000</v>
      </c>
      <c r="K8074" t="e">
        <f>VLOOKUP(B8074,'REGISTRO ABONOS'!$B$8:$BC$10012,54,0)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1"/>
        <v>105000</v>
      </c>
      <c r="K8075" t="e">
        <f>VLOOKUP(B8075,'REGISTRO ABONOS'!$B$8:$BC$10012,54,0)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1"/>
        <v>105000</v>
      </c>
      <c r="K8076" t="e">
        <f>VLOOKUP(B8076,'REGISTRO ABONOS'!$B$8:$BC$10012,54,0)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1"/>
        <v>105000</v>
      </c>
      <c r="K8077" t="e">
        <f>VLOOKUP(B8077,'REGISTRO ABONOS'!$B$8:$BC$10012,54,0)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1"/>
        <v>105000</v>
      </c>
      <c r="K8078" t="e">
        <f>VLOOKUP(B8078,'REGISTRO ABONOS'!$B$8:$BC$10012,54,0)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1"/>
        <v>105000</v>
      </c>
      <c r="K8079" t="e">
        <f>VLOOKUP(B8079,'REGISTRO ABONOS'!$B$8:$BC$10012,54,0)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1"/>
        <v>105000</v>
      </c>
      <c r="K8080" t="e">
        <f>VLOOKUP(B8080,'REGISTRO ABONOS'!$B$8:$BC$10012,54,0)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1"/>
        <v>105000</v>
      </c>
      <c r="K8081" t="e">
        <f>VLOOKUP(B8081,'REGISTRO ABONOS'!$B$8:$BC$10012,54,0)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1"/>
        <v>105000</v>
      </c>
      <c r="K8082" t="e">
        <f>VLOOKUP(B8082,'REGISTRO ABONOS'!$B$8:$BC$10012,54,0)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1"/>
        <v>105000</v>
      </c>
      <c r="K8083" t="e">
        <f>VLOOKUP(B8083,'REGISTRO ABONOS'!$B$8:$BC$10012,54,0)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1"/>
        <v>105000</v>
      </c>
      <c r="K8084" t="e">
        <f>VLOOKUP(B8084,'REGISTRO ABONOS'!$B$8:$BC$10012,54,0)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1"/>
        <v>105000</v>
      </c>
      <c r="K8085" t="e">
        <f>VLOOKUP(B8085,'REGISTRO ABONOS'!$B$8:$BC$10012,54,0)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1"/>
        <v>105000</v>
      </c>
      <c r="K8086" t="e">
        <f>VLOOKUP(B8086,'REGISTRO ABONOS'!$B$8:$BC$10012,54,0)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1"/>
        <v>105000</v>
      </c>
      <c r="K8087" t="e">
        <f>VLOOKUP(B8087,'REGISTRO ABONOS'!$B$8:$BC$10012,54,0)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1"/>
        <v>105000</v>
      </c>
      <c r="K8088" t="e">
        <f>VLOOKUP(B8088,'REGISTRO ABONOS'!$B$8:$BC$10012,54,0)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1"/>
        <v>105000</v>
      </c>
      <c r="K8089" t="e">
        <f>VLOOKUP(B8089,'REGISTRO ABONOS'!$B$8:$BC$10012,54,0)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1"/>
        <v>105000</v>
      </c>
      <c r="K8090" t="e">
        <f>VLOOKUP(B8090,'REGISTRO ABONOS'!$B$8:$BC$10012,54,0)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1"/>
        <v>105000</v>
      </c>
      <c r="K8091" t="e">
        <f>VLOOKUP(B8091,'REGISTRO ABONOS'!$B$8:$BC$10012,54,0)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1"/>
        <v>105000</v>
      </c>
      <c r="K8092" t="e">
        <f>VLOOKUP(B8092,'REGISTRO ABONOS'!$B$8:$BC$10012,54,0)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1"/>
        <v>105000</v>
      </c>
      <c r="K8093" t="e">
        <f>VLOOKUP(B8093,'REGISTRO ABONOS'!$B$8:$BC$10012,54,0)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1"/>
        <v>105000</v>
      </c>
      <c r="K8094" t="e">
        <f>VLOOKUP(B8094,'REGISTRO ABONOS'!$B$8:$BC$10012,54,0)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1"/>
        <v>105000</v>
      </c>
      <c r="K8095" t="e">
        <f>VLOOKUP(B8095,'REGISTRO ABONOS'!$B$8:$BC$10012,54,0)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1"/>
        <v>105000</v>
      </c>
      <c r="K8096" t="e">
        <f>VLOOKUP(B8096,'REGISTRO ABONOS'!$B$8:$BC$10012,54,0)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1"/>
        <v>105000</v>
      </c>
      <c r="K8097" t="e">
        <f>VLOOKUP(B8097,'REGISTRO ABONOS'!$B$8:$BC$10012,54,0)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1"/>
        <v>105000</v>
      </c>
      <c r="K8098" t="e">
        <f>VLOOKUP(B8098,'REGISTRO ABONOS'!$B$8:$BC$10012,54,0)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1"/>
        <v>105000</v>
      </c>
      <c r="K8099" t="e">
        <f>VLOOKUP(B8099,'REGISTRO ABONOS'!$B$8:$BC$10012,54,0)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1"/>
        <v>105000</v>
      </c>
      <c r="K8100" t="e">
        <f>VLOOKUP(B8100,'REGISTRO ABONOS'!$B$8:$BC$10012,54,0)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1"/>
        <v>105000</v>
      </c>
      <c r="K8101" t="e">
        <f>VLOOKUP(B8101,'REGISTRO ABONOS'!$B$8:$BC$10012,54,0)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1"/>
        <v>105000</v>
      </c>
      <c r="K8102" t="e">
        <f>VLOOKUP(B8102,'REGISTRO ABONOS'!$B$8:$BC$10012,54,0)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1"/>
        <v>105000</v>
      </c>
      <c r="K8103" t="e">
        <f>VLOOKUP(B8103,'REGISTRO ABONOS'!$B$8:$BC$10012,54,0)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1"/>
        <v>105000</v>
      </c>
      <c r="K8104" t="e">
        <f>VLOOKUP(B8104,'REGISTRO ABONOS'!$B$8:$BC$10012,54,0)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1"/>
        <v>105000</v>
      </c>
      <c r="K8105" t="e">
        <f>VLOOKUP(B8105,'REGISTRO ABONOS'!$B$8:$BC$10012,54,0)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1"/>
        <v>105000</v>
      </c>
      <c r="K8106" t="e">
        <f>VLOOKUP(B8106,'REGISTRO ABONOS'!$B$8:$BC$10012,54,0)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1"/>
        <v>105000</v>
      </c>
      <c r="K8107" t="e">
        <f>VLOOKUP(B8107,'REGISTRO ABONOS'!$B$8:$BC$10012,54,0)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1"/>
        <v>105000</v>
      </c>
      <c r="K8108" t="e">
        <f>VLOOKUP(B8108,'REGISTRO ABONOS'!$B$8:$BC$10012,54,0)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1"/>
        <v>105000</v>
      </c>
      <c r="K8109" t="e">
        <f>VLOOKUP(B8109,'REGISTRO ABONOS'!$B$8:$BC$10012,54,0)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1"/>
        <v>105000</v>
      </c>
      <c r="K8110" t="e">
        <f>VLOOKUP(B8110,'REGISTRO ABONOS'!$B$8:$BC$10012,54,0)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1"/>
        <v>105000</v>
      </c>
      <c r="K8111" t="e">
        <f>VLOOKUP(B8111,'REGISTRO ABONOS'!$B$8:$BC$10012,54,0)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ABONOS'!$B$8:$BC$10012,54,0)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2"/>
        <v>105000</v>
      </c>
      <c r="K8113" t="e">
        <f>VLOOKUP(B8113,'REGISTRO ABONOS'!$B$8:$BC$10012,54,0)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2"/>
        <v>105000</v>
      </c>
      <c r="K8114" t="e">
        <f>VLOOKUP(B8114,'REGISTRO ABONOS'!$B$8:$BC$10012,54,0)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2"/>
        <v>105000</v>
      </c>
      <c r="K8115" t="e">
        <f>VLOOKUP(B8115,'REGISTRO ABONOS'!$B$8:$BC$10012,54,0)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2"/>
        <v>105000</v>
      </c>
      <c r="K8116" t="e">
        <f>VLOOKUP(B8116,'REGISTRO ABONOS'!$B$8:$BC$10012,54,0)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2"/>
        <v>105000</v>
      </c>
      <c r="K8117" t="e">
        <f>VLOOKUP(B8117,'REGISTRO ABONOS'!$B$8:$BC$10012,54,0)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2"/>
        <v>105000</v>
      </c>
      <c r="K8118" t="e">
        <f>VLOOKUP(B8118,'REGISTRO ABONOS'!$B$8:$BC$10012,54,0)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2"/>
        <v>105000</v>
      </c>
      <c r="K8119" t="e">
        <f>VLOOKUP(B8119,'REGISTRO ABONOS'!$B$8:$BC$10012,54,0)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2"/>
        <v>105000</v>
      </c>
      <c r="K8120" t="e">
        <f>VLOOKUP(B8120,'REGISTRO ABONOS'!$B$8:$BC$10012,54,0)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2"/>
        <v>105000</v>
      </c>
      <c r="K8121" t="e">
        <f>VLOOKUP(B8121,'REGISTRO ABONOS'!$B$8:$BC$10012,54,0)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2"/>
        <v>105000</v>
      </c>
      <c r="K8122" t="e">
        <f>VLOOKUP(B8122,'REGISTRO ABONOS'!$B$8:$BC$10012,54,0)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2"/>
        <v>105000</v>
      </c>
      <c r="K8123" t="e">
        <f>VLOOKUP(B8123,'REGISTRO ABONOS'!$B$8:$BC$10012,54,0)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2"/>
        <v>105000</v>
      </c>
      <c r="K8124" t="e">
        <f>VLOOKUP(B8124,'REGISTRO ABONOS'!$B$8:$BC$10012,54,0)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2"/>
        <v>105000</v>
      </c>
      <c r="K8125" t="e">
        <f>VLOOKUP(B8125,'REGISTRO ABONOS'!$B$8:$BC$10012,54,0)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2"/>
        <v>105000</v>
      </c>
      <c r="K8126" t="e">
        <f>VLOOKUP(B8126,'REGISTRO ABONOS'!$B$8:$BC$10012,54,0)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2"/>
        <v>105000</v>
      </c>
      <c r="K8127" t="e">
        <f>VLOOKUP(B8127,'REGISTRO ABONOS'!$B$8:$BC$10012,54,0)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2"/>
        <v>105000</v>
      </c>
      <c r="K8128" t="e">
        <f>VLOOKUP(B8128,'REGISTRO ABONOS'!$B$8:$BC$10012,54,0)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2"/>
        <v>105000</v>
      </c>
      <c r="K8129" t="e">
        <f>VLOOKUP(B8129,'REGISTRO ABONOS'!$B$8:$BC$10012,54,0)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2"/>
        <v>105000</v>
      </c>
      <c r="K8130" t="e">
        <f>VLOOKUP(B8130,'REGISTRO ABONOS'!$B$8:$BC$10012,54,0)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2"/>
        <v>105000</v>
      </c>
      <c r="K8131" t="e">
        <f>VLOOKUP(B8131,'REGISTRO ABONOS'!$B$8:$BC$10012,54,0)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2"/>
        <v>105000</v>
      </c>
      <c r="K8132" t="e">
        <f>VLOOKUP(B8132,'REGISTRO ABONOS'!$B$8:$BC$10012,54,0)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2"/>
        <v>105000</v>
      </c>
      <c r="K8133" t="e">
        <f>VLOOKUP(B8133,'REGISTRO ABONOS'!$B$8:$BC$10012,54,0)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2"/>
        <v>105000</v>
      </c>
      <c r="K8134" t="e">
        <f>VLOOKUP(B8134,'REGISTRO ABONOS'!$B$8:$BC$10012,54,0)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2"/>
        <v>105000</v>
      </c>
      <c r="K8135" t="e">
        <f>VLOOKUP(B8135,'REGISTRO ABONOS'!$B$8:$BC$10012,54,0)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2"/>
        <v>105000</v>
      </c>
      <c r="K8136" t="e">
        <f>VLOOKUP(B8136,'REGISTRO ABONOS'!$B$8:$BC$10012,54,0)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2"/>
        <v>105000</v>
      </c>
      <c r="K8137" t="e">
        <f>VLOOKUP(B8137,'REGISTRO ABONOS'!$B$8:$BC$10012,54,0)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2"/>
        <v>105000</v>
      </c>
      <c r="K8138" t="e">
        <f>VLOOKUP(B8138,'REGISTRO ABONOS'!$B$8:$BC$10012,54,0)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2"/>
        <v>105000</v>
      </c>
      <c r="K8139" t="e">
        <f>VLOOKUP(B8139,'REGISTRO ABONOS'!$B$8:$BC$10012,54,0)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2"/>
        <v>105000</v>
      </c>
      <c r="K8140" t="e">
        <f>VLOOKUP(B8140,'REGISTRO ABONOS'!$B$8:$BC$10012,54,0)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2"/>
        <v>105000</v>
      </c>
      <c r="K8141" t="e">
        <f>VLOOKUP(B8141,'REGISTRO ABONOS'!$B$8:$BC$10012,54,0)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2"/>
        <v>105000</v>
      </c>
      <c r="K8142" t="e">
        <f>VLOOKUP(B8142,'REGISTRO ABONOS'!$B$8:$BC$10012,54,0)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2"/>
        <v>105000</v>
      </c>
      <c r="K8143" t="e">
        <f>VLOOKUP(B8143,'REGISTRO ABONOS'!$B$8:$BC$10012,54,0)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2"/>
        <v>105000</v>
      </c>
      <c r="K8144" t="e">
        <f>VLOOKUP(B8144,'REGISTRO ABONOS'!$B$8:$BC$10012,54,0)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2"/>
        <v>105000</v>
      </c>
      <c r="K8145" t="e">
        <f>VLOOKUP(B8145,'REGISTRO ABONOS'!$B$8:$BC$10012,54,0)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2"/>
        <v>105000</v>
      </c>
      <c r="K8146" t="e">
        <f>VLOOKUP(B8146,'REGISTRO ABONOS'!$B$8:$BC$10012,54,0)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2"/>
        <v>105000</v>
      </c>
      <c r="K8147" t="e">
        <f>VLOOKUP(B8147,'REGISTRO ABONOS'!$B$8:$BC$10012,54,0)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2"/>
        <v>105000</v>
      </c>
      <c r="K8148" t="e">
        <f>VLOOKUP(B8148,'REGISTRO ABONOS'!$B$8:$BC$10012,54,0)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2"/>
        <v>105000</v>
      </c>
      <c r="K8149" t="e">
        <f>VLOOKUP(B8149,'REGISTRO ABONOS'!$B$8:$BC$10012,54,0)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2"/>
        <v>105000</v>
      </c>
      <c r="K8150" t="e">
        <f>VLOOKUP(B8150,'REGISTRO ABONOS'!$B$8:$BC$10012,54,0)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2"/>
        <v>105000</v>
      </c>
      <c r="K8151" t="e">
        <f>VLOOKUP(B8151,'REGISTRO ABONOS'!$B$8:$BC$10012,54,0)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2"/>
        <v>105000</v>
      </c>
      <c r="K8152" t="e">
        <f>VLOOKUP(B8152,'REGISTRO ABONOS'!$B$8:$BC$10012,54,0)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2"/>
        <v>105000</v>
      </c>
      <c r="K8153" t="e">
        <f>VLOOKUP(B8153,'REGISTRO ABONOS'!$B$8:$BC$10012,54,0)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2"/>
        <v>105000</v>
      </c>
      <c r="K8154" t="e">
        <f>VLOOKUP(B8154,'REGISTRO ABONOS'!$B$8:$BC$10012,54,0)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2"/>
        <v>105000</v>
      </c>
      <c r="K8155" t="e">
        <f>VLOOKUP(B8155,'REGISTRO ABONOS'!$B$8:$BC$10012,54,0)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2"/>
        <v>105000</v>
      </c>
      <c r="K8156" t="e">
        <f>VLOOKUP(B8156,'REGISTRO ABONOS'!$B$8:$BC$10012,54,0)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2"/>
        <v>105000</v>
      </c>
      <c r="K8157" t="e">
        <f>VLOOKUP(B8157,'REGISTRO ABONOS'!$B$8:$BC$10012,54,0)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2"/>
        <v>105000</v>
      </c>
      <c r="K8158" t="e">
        <f>VLOOKUP(B8158,'REGISTRO ABONOS'!$B$8:$BC$10012,54,0)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2"/>
        <v>105000</v>
      </c>
      <c r="K8159" t="e">
        <f>VLOOKUP(B8159,'REGISTRO ABONOS'!$B$8:$BC$10012,54,0)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2"/>
        <v>105000</v>
      </c>
      <c r="K8160" t="e">
        <f>VLOOKUP(B8160,'REGISTRO ABONOS'!$B$8:$BC$10012,54,0)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2"/>
        <v>105000</v>
      </c>
      <c r="K8161" t="e">
        <f>VLOOKUP(B8161,'REGISTRO ABONOS'!$B$8:$BC$10012,54,0)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2"/>
        <v>105000</v>
      </c>
      <c r="K8162" t="e">
        <f>VLOOKUP(B8162,'REGISTRO ABONOS'!$B$8:$BC$10012,54,0)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2"/>
        <v>105000</v>
      </c>
      <c r="K8163" t="e">
        <f>VLOOKUP(B8163,'REGISTRO ABONOS'!$B$8:$BC$10012,54,0)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2"/>
        <v>105000</v>
      </c>
      <c r="K8164" t="e">
        <f>VLOOKUP(B8164,'REGISTRO ABONOS'!$B$8:$BC$10012,54,0)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2"/>
        <v>105000</v>
      </c>
      <c r="K8165" t="e">
        <f>VLOOKUP(B8165,'REGISTRO ABONOS'!$B$8:$BC$10012,54,0)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2"/>
        <v>105000</v>
      </c>
      <c r="K8166" t="e">
        <f>VLOOKUP(B8166,'REGISTRO ABONOS'!$B$8:$BC$10012,54,0)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2"/>
        <v>105000</v>
      </c>
      <c r="K8167" t="e">
        <f>VLOOKUP(B8167,'REGISTRO ABONOS'!$B$8:$BC$10012,54,0)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2"/>
        <v>105000</v>
      </c>
      <c r="K8168" t="e">
        <f>VLOOKUP(B8168,'REGISTRO ABONOS'!$B$8:$BC$10012,54,0)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2"/>
        <v>105000</v>
      </c>
      <c r="K8169" t="e">
        <f>VLOOKUP(B8169,'REGISTRO ABONOS'!$B$8:$BC$10012,54,0)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2"/>
        <v>105000</v>
      </c>
      <c r="K8170" t="e">
        <f>VLOOKUP(B8170,'REGISTRO ABONOS'!$B$8:$BC$10012,54,0)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2"/>
        <v>105000</v>
      </c>
      <c r="K8171" t="e">
        <f>VLOOKUP(B8171,'REGISTRO ABONOS'!$B$8:$BC$10012,54,0)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2"/>
        <v>105000</v>
      </c>
      <c r="K8172" t="e">
        <f>VLOOKUP(B8172,'REGISTRO ABONOS'!$B$8:$BC$10012,54,0)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2"/>
        <v>105000</v>
      </c>
      <c r="K8173" t="e">
        <f>VLOOKUP(B8173,'REGISTRO ABONOS'!$B$8:$BC$10012,54,0)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2"/>
        <v>105000</v>
      </c>
      <c r="K8174" t="e">
        <f>VLOOKUP(B8174,'REGISTRO ABONOS'!$B$8:$BC$10012,54,0)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2"/>
        <v>105000</v>
      </c>
      <c r="K8175" t="e">
        <f>VLOOKUP(B8175,'REGISTRO ABONOS'!$B$8:$BC$10012,54,0)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ABONOS'!$B$8:$BC$10012,54,0)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3"/>
        <v>105000</v>
      </c>
      <c r="K8177" t="e">
        <f>VLOOKUP(B8177,'REGISTRO ABONOS'!$B$8:$BC$10012,54,0)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3"/>
        <v>105000</v>
      </c>
      <c r="K8178" t="e">
        <f>VLOOKUP(B8178,'REGISTRO ABONOS'!$B$8:$BC$10012,54,0)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3"/>
        <v>105000</v>
      </c>
      <c r="K8179" t="e">
        <f>VLOOKUP(B8179,'REGISTRO ABONOS'!$B$8:$BC$10012,54,0)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3"/>
        <v>105000</v>
      </c>
      <c r="K8180" t="e">
        <f>VLOOKUP(B8180,'REGISTRO ABONOS'!$B$8:$BC$10012,54,0)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3"/>
        <v>105000</v>
      </c>
      <c r="K8181" t="e">
        <f>VLOOKUP(B8181,'REGISTRO ABONOS'!$B$8:$BC$10012,54,0)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3"/>
        <v>105000</v>
      </c>
      <c r="K8182" t="e">
        <f>VLOOKUP(B8182,'REGISTRO ABONOS'!$B$8:$BC$10012,54,0)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3"/>
        <v>105000</v>
      </c>
      <c r="K8183" t="e">
        <f>VLOOKUP(B8183,'REGISTRO ABONOS'!$B$8:$BC$10012,54,0)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3"/>
        <v>105000</v>
      </c>
      <c r="K8184" t="e">
        <f>VLOOKUP(B8184,'REGISTRO ABONOS'!$B$8:$BC$10012,54,0)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3"/>
        <v>105000</v>
      </c>
      <c r="K8185" t="e">
        <f>VLOOKUP(B8185,'REGISTRO ABONOS'!$B$8:$BC$10012,54,0)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3"/>
        <v>105000</v>
      </c>
      <c r="K8186" t="e">
        <f>VLOOKUP(B8186,'REGISTRO ABONOS'!$B$8:$BC$10012,54,0)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3"/>
        <v>105000</v>
      </c>
      <c r="K8187" t="e">
        <f>VLOOKUP(B8187,'REGISTRO ABONOS'!$B$8:$BC$10012,54,0)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3"/>
        <v>105000</v>
      </c>
      <c r="K8188" t="e">
        <f>VLOOKUP(B8188,'REGISTRO ABONOS'!$B$8:$BC$10012,54,0)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3"/>
        <v>105000</v>
      </c>
      <c r="K8189" t="e">
        <f>VLOOKUP(B8189,'REGISTRO ABONOS'!$B$8:$BC$10012,54,0)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3"/>
        <v>105000</v>
      </c>
      <c r="K8190" t="e">
        <f>VLOOKUP(B8190,'REGISTRO ABONOS'!$B$8:$BC$10012,54,0)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3"/>
        <v>105000</v>
      </c>
      <c r="K8191" t="e">
        <f>VLOOKUP(B8191,'REGISTRO ABONOS'!$B$8:$BC$10012,54,0)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3"/>
        <v>105000</v>
      </c>
      <c r="K8192" t="e">
        <f>VLOOKUP(B8192,'REGISTRO ABONOS'!$B$8:$BC$10012,54,0)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3"/>
        <v>105000</v>
      </c>
      <c r="K8193" t="e">
        <f>VLOOKUP(B8193,'REGISTRO ABONOS'!$B$8:$BC$10012,54,0)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3"/>
        <v>105000</v>
      </c>
      <c r="K8194" t="e">
        <f>VLOOKUP(B8194,'REGISTRO ABONOS'!$B$8:$BC$10012,54,0)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3"/>
        <v>105000</v>
      </c>
      <c r="K8195" t="e">
        <f>VLOOKUP(B8195,'REGISTRO ABONOS'!$B$8:$BC$10012,54,0)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3"/>
        <v>105000</v>
      </c>
      <c r="K8196" t="e">
        <f>VLOOKUP(B8196,'REGISTRO ABONOS'!$B$8:$BC$10012,54,0)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3"/>
        <v>105000</v>
      </c>
      <c r="K8197" t="e">
        <f>VLOOKUP(B8197,'REGISTRO ABONOS'!$B$8:$BC$10012,54,0)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3"/>
        <v>105000</v>
      </c>
      <c r="K8198" t="e">
        <f>VLOOKUP(B8198,'REGISTRO ABONOS'!$B$8:$BC$10012,54,0)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3"/>
        <v>105000</v>
      </c>
      <c r="K8199" t="e">
        <f>VLOOKUP(B8199,'REGISTRO ABONOS'!$B$8:$BC$10012,54,0)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3"/>
        <v>105000</v>
      </c>
      <c r="K8200" t="e">
        <f>VLOOKUP(B8200,'REGISTRO ABONOS'!$B$8:$BC$10012,54,0)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3"/>
        <v>105000</v>
      </c>
      <c r="K8201" t="e">
        <f>VLOOKUP(B8201,'REGISTRO ABONOS'!$B$8:$BC$10012,54,0)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3"/>
        <v>105000</v>
      </c>
      <c r="K8202" t="e">
        <f>VLOOKUP(B8202,'REGISTRO ABONOS'!$B$8:$BC$10012,54,0)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3"/>
        <v>105000</v>
      </c>
      <c r="K8203" t="e">
        <f>VLOOKUP(B8203,'REGISTRO ABONOS'!$B$8:$BC$10012,54,0)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3"/>
        <v>105000</v>
      </c>
      <c r="K8204" t="e">
        <f>VLOOKUP(B8204,'REGISTRO ABONOS'!$B$8:$BC$10012,54,0)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3"/>
        <v>105000</v>
      </c>
      <c r="K8205" t="e">
        <f>VLOOKUP(B8205,'REGISTRO ABONOS'!$B$8:$BC$10012,54,0)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3"/>
        <v>105000</v>
      </c>
      <c r="K8206" t="e">
        <f>VLOOKUP(B8206,'REGISTRO ABONOS'!$B$8:$BC$10012,54,0)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3"/>
        <v>105000</v>
      </c>
      <c r="K8207" t="e">
        <f>VLOOKUP(B8207,'REGISTRO ABONOS'!$B$8:$BC$10012,54,0)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3"/>
        <v>105000</v>
      </c>
      <c r="K8208" t="e">
        <f>VLOOKUP(B8208,'REGISTRO ABONOS'!$B$8:$BC$10012,54,0)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3"/>
        <v>105000</v>
      </c>
      <c r="K8209" t="e">
        <f>VLOOKUP(B8209,'REGISTRO ABONOS'!$B$8:$BC$10012,54,0)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3"/>
        <v>105000</v>
      </c>
      <c r="K8210" t="e">
        <f>VLOOKUP(B8210,'REGISTRO ABONOS'!$B$8:$BC$10012,54,0)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3"/>
        <v>105000</v>
      </c>
      <c r="K8211" t="e">
        <f>VLOOKUP(B8211,'REGISTRO ABONOS'!$B$8:$BC$10012,54,0)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3"/>
        <v>105000</v>
      </c>
      <c r="K8212" t="e">
        <f>VLOOKUP(B8212,'REGISTRO ABONOS'!$B$8:$BC$10012,54,0)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3"/>
        <v>105000</v>
      </c>
      <c r="K8213" t="e">
        <f>VLOOKUP(B8213,'REGISTRO ABONOS'!$B$8:$BC$10012,54,0)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3"/>
        <v>105000</v>
      </c>
      <c r="K8214" t="e">
        <f>VLOOKUP(B8214,'REGISTRO ABONOS'!$B$8:$BC$10012,54,0)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3"/>
        <v>105000</v>
      </c>
      <c r="K8215" t="e">
        <f>VLOOKUP(B8215,'REGISTRO ABONOS'!$B$8:$BC$10012,54,0)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3"/>
        <v>105000</v>
      </c>
      <c r="K8216" t="e">
        <f>VLOOKUP(B8216,'REGISTRO ABONOS'!$B$8:$BC$10012,54,0)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3"/>
        <v>105000</v>
      </c>
      <c r="K8217" t="e">
        <f>VLOOKUP(B8217,'REGISTRO ABONOS'!$B$8:$BC$10012,54,0)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3"/>
        <v>105000</v>
      </c>
      <c r="K8218" t="e">
        <f>VLOOKUP(B8218,'REGISTRO ABONOS'!$B$8:$BC$10012,54,0)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3"/>
        <v>105000</v>
      </c>
      <c r="K8219" t="e">
        <f>VLOOKUP(B8219,'REGISTRO ABONOS'!$B$8:$BC$10012,54,0)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3"/>
        <v>105000</v>
      </c>
      <c r="K8220" t="e">
        <f>VLOOKUP(B8220,'REGISTRO ABONOS'!$B$8:$BC$10012,54,0)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3"/>
        <v>105000</v>
      </c>
      <c r="K8221" t="e">
        <f>VLOOKUP(B8221,'REGISTRO ABONOS'!$B$8:$BC$10012,54,0)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3"/>
        <v>105000</v>
      </c>
      <c r="K8222" t="e">
        <f>VLOOKUP(B8222,'REGISTRO ABONOS'!$B$8:$BC$10012,54,0)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3"/>
        <v>105000</v>
      </c>
      <c r="K8223" t="e">
        <f>VLOOKUP(B8223,'REGISTRO ABONOS'!$B$8:$BC$10012,54,0)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3"/>
        <v>105000</v>
      </c>
      <c r="K8224" t="e">
        <f>VLOOKUP(B8224,'REGISTRO ABONOS'!$B$8:$BC$10012,54,0)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3"/>
        <v>105000</v>
      </c>
      <c r="K8225" t="e">
        <f>VLOOKUP(B8225,'REGISTRO ABONOS'!$B$8:$BC$10012,54,0)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3"/>
        <v>105000</v>
      </c>
      <c r="K8226" t="e">
        <f>VLOOKUP(B8226,'REGISTRO ABONOS'!$B$8:$BC$10012,54,0)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J8227">
        <f t="shared" si="133"/>
        <v>105000</v>
      </c>
      <c r="K8227" t="e">
        <f>VLOOKUP(B8227,'REGISTRO ABONOS'!$B$8:$BC$10012,54,0)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3"/>
        <v>105000</v>
      </c>
      <c r="K8228" t="e">
        <f>VLOOKUP(B8228,'REGISTRO ABONOS'!$B$8:$BC$10012,54,0)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3"/>
        <v>105000</v>
      </c>
      <c r="K8229" t="e">
        <f>VLOOKUP(B8229,'REGISTRO ABONOS'!$B$8:$BC$10012,54,0)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3"/>
        <v>105000</v>
      </c>
      <c r="K8230" t="e">
        <f>VLOOKUP(B8230,'REGISTRO ABONOS'!$B$8:$BC$10012,54,0)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3"/>
        <v>105000</v>
      </c>
      <c r="K8231" t="e">
        <f>VLOOKUP(B8231,'REGISTRO ABONOS'!$B$8:$BC$10012,54,0)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3"/>
        <v>105000</v>
      </c>
      <c r="K8232" t="e">
        <f>VLOOKUP(B8232,'REGISTRO ABONOS'!$B$8:$BC$10012,54,0)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3"/>
        <v>105000</v>
      </c>
      <c r="K8233" t="e">
        <f>VLOOKUP(B8233,'REGISTRO ABONOS'!$B$8:$BC$10012,54,0)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3"/>
        <v>105000</v>
      </c>
      <c r="K8234" t="e">
        <f>VLOOKUP(B8234,'REGISTRO ABONOS'!$B$8:$BC$10012,54,0)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3"/>
        <v>105000</v>
      </c>
      <c r="K8235" t="e">
        <f>VLOOKUP(B8235,'REGISTRO ABONOS'!$B$8:$BC$10012,54,0)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3"/>
        <v>105000</v>
      </c>
      <c r="K8236" t="e">
        <f>VLOOKUP(B8236,'REGISTRO ABONOS'!$B$8:$BC$10012,54,0)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3"/>
        <v>105000</v>
      </c>
      <c r="K8237" t="e">
        <f>VLOOKUP(B8237,'REGISTRO ABONOS'!$B$8:$BC$10012,54,0)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3"/>
        <v>105000</v>
      </c>
      <c r="K8238" t="e">
        <f>VLOOKUP(B8238,'REGISTRO ABONOS'!$B$8:$BC$10012,54,0)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3"/>
        <v>105000</v>
      </c>
      <c r="K8239" t="e">
        <f>VLOOKUP(B8239,'REGISTRO ABONOS'!$B$8:$BC$10012,54,0)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ABONOS'!$B$8:$BC$10012,54,0)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4"/>
        <v>105000</v>
      </c>
      <c r="K8241" t="e">
        <f>VLOOKUP(B8241,'REGISTRO ABONOS'!$B$8:$BC$10012,54,0)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4"/>
        <v>105000</v>
      </c>
      <c r="K8242" t="e">
        <f>VLOOKUP(B8242,'REGISTRO ABONOS'!$B$8:$BC$10012,54,0)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4"/>
        <v>105000</v>
      </c>
      <c r="K8243" t="e">
        <f>VLOOKUP(B8243,'REGISTRO ABONOS'!$B$8:$BC$10012,54,0)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4"/>
        <v>105000</v>
      </c>
      <c r="K8244" t="e">
        <f>VLOOKUP(B8244,'REGISTRO ABONOS'!$B$8:$BC$10012,54,0)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4"/>
        <v>105000</v>
      </c>
      <c r="K8245" t="e">
        <f>VLOOKUP(B8245,'REGISTRO ABONOS'!$B$8:$BC$10012,54,0)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4"/>
        <v>105000</v>
      </c>
      <c r="K8246" t="e">
        <f>VLOOKUP(B8246,'REGISTRO ABONOS'!$B$8:$BC$10012,54,0)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4"/>
        <v>105000</v>
      </c>
      <c r="K8247" t="e">
        <f>VLOOKUP(B8247,'REGISTRO ABONOS'!$B$8:$BC$10012,54,0)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4"/>
        <v>105000</v>
      </c>
      <c r="K8248" t="e">
        <f>VLOOKUP(B8248,'REGISTRO ABONOS'!$B$8:$BC$10012,54,0)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4"/>
        <v>105000</v>
      </c>
      <c r="K8249" t="e">
        <f>VLOOKUP(B8249,'REGISTRO ABONOS'!$B$8:$BC$10012,54,0)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4"/>
        <v>105000</v>
      </c>
      <c r="K8250" t="e">
        <f>VLOOKUP(B8250,'REGISTRO ABONOS'!$B$8:$BC$10012,54,0)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4"/>
        <v>105000</v>
      </c>
      <c r="K8251" t="e">
        <f>VLOOKUP(B8251,'REGISTRO ABONOS'!$B$8:$BC$10012,54,0)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4"/>
        <v>105000</v>
      </c>
      <c r="K8252" t="e">
        <f>VLOOKUP(B8252,'REGISTRO ABONOS'!$B$8:$BC$10012,54,0)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4"/>
        <v>105000</v>
      </c>
      <c r="K8253" t="e">
        <f>VLOOKUP(B8253,'REGISTRO ABONOS'!$B$8:$BC$10012,54,0)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4"/>
        <v>105000</v>
      </c>
      <c r="K8254" t="e">
        <f>VLOOKUP(B8254,'REGISTRO ABONOS'!$B$8:$BC$10012,54,0)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4"/>
        <v>105000</v>
      </c>
      <c r="K8255" t="e">
        <f>VLOOKUP(B8255,'REGISTRO ABONOS'!$B$8:$BC$10012,54,0)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4"/>
        <v>105000</v>
      </c>
      <c r="K8256" t="e">
        <f>VLOOKUP(B8256,'REGISTRO ABONOS'!$B$8:$BC$10012,54,0)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4"/>
        <v>105000</v>
      </c>
      <c r="K8257" t="e">
        <f>VLOOKUP(B8257,'REGISTRO ABONOS'!$B$8:$BC$10012,54,0)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4"/>
        <v>105000</v>
      </c>
      <c r="K8258" t="e">
        <f>VLOOKUP(B8258,'REGISTRO ABONOS'!$B$8:$BC$10012,54,0)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4"/>
        <v>105000</v>
      </c>
      <c r="K8259" t="e">
        <f>VLOOKUP(B8259,'REGISTRO ABONOS'!$B$8:$BC$10012,54,0)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4"/>
        <v>105000</v>
      </c>
      <c r="K8260" t="e">
        <f>VLOOKUP(B8260,'REGISTRO ABONOS'!$B$8:$BC$10012,54,0)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4"/>
        <v>105000</v>
      </c>
      <c r="K8261" t="e">
        <f>VLOOKUP(B8261,'REGISTRO ABONOS'!$B$8:$BC$10012,54,0)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4"/>
        <v>105000</v>
      </c>
      <c r="K8262" t="e">
        <f>VLOOKUP(B8262,'REGISTRO ABONOS'!$B$8:$BC$10012,54,0)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4"/>
        <v>105000</v>
      </c>
      <c r="K8263" t="e">
        <f>VLOOKUP(B8263,'REGISTRO ABONOS'!$B$8:$BC$10012,54,0)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4"/>
        <v>105000</v>
      </c>
      <c r="K8264" t="e">
        <f>VLOOKUP(B8264,'REGISTRO ABONOS'!$B$8:$BC$10012,54,0)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4"/>
        <v>105000</v>
      </c>
      <c r="K8265" t="e">
        <f>VLOOKUP(B8265,'REGISTRO ABONOS'!$B$8:$BC$10012,54,0)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4"/>
        <v>105000</v>
      </c>
      <c r="K8266" t="e">
        <f>VLOOKUP(B8266,'REGISTRO ABONOS'!$B$8:$BC$10012,54,0)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4"/>
        <v>105000</v>
      </c>
      <c r="K8267" t="e">
        <f>VLOOKUP(B8267,'REGISTRO ABONOS'!$B$8:$BC$10012,54,0)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4"/>
        <v>105000</v>
      </c>
      <c r="K8268" t="e">
        <f>VLOOKUP(B8268,'REGISTRO ABONOS'!$B$8:$BC$10012,54,0)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4"/>
        <v>105000</v>
      </c>
      <c r="K8269" t="e">
        <f>VLOOKUP(B8269,'REGISTRO ABONOS'!$B$8:$BC$10012,54,0)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4"/>
        <v>105000</v>
      </c>
      <c r="K8270" t="e">
        <f>VLOOKUP(B8270,'REGISTRO ABONOS'!$B$8:$BC$10012,54,0)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4"/>
        <v>105000</v>
      </c>
      <c r="K8271" t="e">
        <f>VLOOKUP(B8271,'REGISTRO ABONOS'!$B$8:$BC$10012,54,0)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4"/>
        <v>105000</v>
      </c>
      <c r="K8272" t="e">
        <f>VLOOKUP(B8272,'REGISTRO ABONOS'!$B$8:$BC$10012,54,0)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4"/>
        <v>105000</v>
      </c>
      <c r="K8273" t="e">
        <f>VLOOKUP(B8273,'REGISTRO ABONOS'!$B$8:$BC$10012,54,0)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4"/>
        <v>105000</v>
      </c>
      <c r="K8274" t="e">
        <f>VLOOKUP(B8274,'REGISTRO ABONOS'!$B$8:$BC$10012,54,0)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4"/>
        <v>105000</v>
      </c>
      <c r="K8275" t="e">
        <f>VLOOKUP(B8275,'REGISTRO ABONOS'!$B$8:$BC$10012,54,0)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4"/>
        <v>105000</v>
      </c>
      <c r="K8276" t="e">
        <f>VLOOKUP(B8276,'REGISTRO ABONOS'!$B$8:$BC$10012,54,0)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4"/>
        <v>105000</v>
      </c>
      <c r="K8277" t="e">
        <f>VLOOKUP(B8277,'REGISTRO ABONOS'!$B$8:$BC$10012,54,0)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4"/>
        <v>105000</v>
      </c>
      <c r="K8278" t="e">
        <f>VLOOKUP(B8278,'REGISTRO ABONOS'!$B$8:$BC$10012,54,0)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4"/>
        <v>105000</v>
      </c>
      <c r="K8279" t="e">
        <f>VLOOKUP(B8279,'REGISTRO ABONOS'!$B$8:$BC$10012,54,0)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4"/>
        <v>105000</v>
      </c>
      <c r="K8280" t="e">
        <f>VLOOKUP(B8280,'REGISTRO ABONOS'!$B$8:$BC$10012,54,0)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4"/>
        <v>105000</v>
      </c>
      <c r="K8281" t="e">
        <f>VLOOKUP(B8281,'REGISTRO ABONOS'!$B$8:$BC$10012,54,0)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4"/>
        <v>105000</v>
      </c>
      <c r="K8282" t="e">
        <f>VLOOKUP(B8282,'REGISTRO ABONOS'!$B$8:$BC$10012,54,0)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4"/>
        <v>105000</v>
      </c>
      <c r="K8283" t="e">
        <f>VLOOKUP(B8283,'REGISTRO ABONOS'!$B$8:$BC$10012,54,0)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4"/>
        <v>105000</v>
      </c>
      <c r="K8284" t="e">
        <f>VLOOKUP(B8284,'REGISTRO ABONOS'!$B$8:$BC$10012,54,0)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4"/>
        <v>105000</v>
      </c>
      <c r="K8285" t="e">
        <f>VLOOKUP(B8285,'REGISTRO ABONOS'!$B$8:$BC$10012,54,0)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4"/>
        <v>105000</v>
      </c>
      <c r="K8286" t="e">
        <f>VLOOKUP(B8286,'REGISTRO ABONOS'!$B$8:$BC$10012,54,0)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4"/>
        <v>105000</v>
      </c>
      <c r="K8287" t="e">
        <f>VLOOKUP(B8287,'REGISTRO ABONOS'!$B$8:$BC$10012,54,0)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4"/>
        <v>105000</v>
      </c>
      <c r="K8288" t="e">
        <f>VLOOKUP(B8288,'REGISTRO ABONOS'!$B$8:$BC$10012,54,0)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4"/>
        <v>105000</v>
      </c>
      <c r="K8289" t="e">
        <f>VLOOKUP(B8289,'REGISTRO ABONOS'!$B$8:$BC$10012,54,0)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4"/>
        <v>105000</v>
      </c>
      <c r="K8290" t="e">
        <f>VLOOKUP(B8290,'REGISTRO ABONOS'!$B$8:$BC$10012,54,0)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4"/>
        <v>105000</v>
      </c>
      <c r="K8291" t="e">
        <f>VLOOKUP(B8291,'REGISTRO ABONOS'!$B$8:$BC$10012,54,0)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4"/>
        <v>105000</v>
      </c>
      <c r="K8292" t="e">
        <f>VLOOKUP(B8292,'REGISTRO ABONOS'!$B$8:$BC$10012,54,0)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4"/>
        <v>105000</v>
      </c>
      <c r="K8293" t="e">
        <f>VLOOKUP(B8293,'REGISTRO ABONOS'!$B$8:$BC$10012,54,0)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4"/>
        <v>105000</v>
      </c>
      <c r="K8294" t="e">
        <f>VLOOKUP(B8294,'REGISTRO ABONOS'!$B$8:$BC$10012,54,0)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4"/>
        <v>105000</v>
      </c>
      <c r="K8295" t="e">
        <f>VLOOKUP(B8295,'REGISTRO ABONOS'!$B$8:$BC$10012,54,0)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4"/>
        <v>105000</v>
      </c>
      <c r="K8296" t="e">
        <f>VLOOKUP(B8296,'REGISTRO ABONOS'!$B$8:$BC$10012,54,0)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4"/>
        <v>105000</v>
      </c>
      <c r="K8297" t="e">
        <f>VLOOKUP(B8297,'REGISTRO ABONOS'!$B$8:$BC$10012,54,0)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4"/>
        <v>105000</v>
      </c>
      <c r="K8298" t="e">
        <f>VLOOKUP(B8298,'REGISTRO ABONOS'!$B$8:$BC$10012,54,0)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4"/>
        <v>105000</v>
      </c>
      <c r="K8299" t="e">
        <f>VLOOKUP(B8299,'REGISTRO ABONOS'!$B$8:$BC$10012,54,0)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4"/>
        <v>105000</v>
      </c>
      <c r="K8300" t="e">
        <f>VLOOKUP(B8300,'REGISTRO ABONOS'!$B$8:$BC$10012,54,0)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4"/>
        <v>105000</v>
      </c>
      <c r="K8301" t="e">
        <f>VLOOKUP(B8301,'REGISTRO ABONOS'!$B$8:$BC$10012,54,0)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4"/>
        <v>105000</v>
      </c>
      <c r="K8302" t="e">
        <f>VLOOKUP(B8302,'REGISTRO ABONOS'!$B$8:$BC$10012,54,0)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4"/>
        <v>105000</v>
      </c>
      <c r="K8303" t="e">
        <f>VLOOKUP(B8303,'REGISTRO ABONOS'!$B$8:$BC$10012,54,0)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J8304">
        <f t="shared" ref="J8304:J8367" si="135">IF(C8304&gt;43607,130000,105000)</f>
        <v>105000</v>
      </c>
      <c r="K8304" t="e">
        <f>VLOOKUP(B8304,'REGISTRO ABONOS'!$B$8:$BC$10012,54,0)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5"/>
        <v>105000</v>
      </c>
      <c r="K8305" t="e">
        <f>VLOOKUP(B8305,'REGISTRO ABONOS'!$B$8:$BC$10012,54,0)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5"/>
        <v>105000</v>
      </c>
      <c r="K8306" t="e">
        <f>VLOOKUP(B8306,'REGISTRO ABONOS'!$B$8:$BC$10012,54,0)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5"/>
        <v>105000</v>
      </c>
      <c r="K8307" t="e">
        <f>VLOOKUP(B8307,'REGISTRO ABONOS'!$B$8:$BC$10012,54,0)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5"/>
        <v>105000</v>
      </c>
      <c r="K8308" t="e">
        <f>VLOOKUP(B8308,'REGISTRO ABONOS'!$B$8:$BC$10012,54,0)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5"/>
        <v>105000</v>
      </c>
      <c r="K8309" t="e">
        <f>VLOOKUP(B8309,'REGISTRO ABONOS'!$B$8:$BC$10012,54,0)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5"/>
        <v>105000</v>
      </c>
      <c r="K8310" t="e">
        <f>VLOOKUP(B8310,'REGISTRO ABONOS'!$B$8:$BC$10012,54,0)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5"/>
        <v>105000</v>
      </c>
      <c r="K8311" t="e">
        <f>VLOOKUP(B8311,'REGISTRO ABONOS'!$B$8:$BC$10012,54,0)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5"/>
        <v>105000</v>
      </c>
      <c r="K8312" t="e">
        <f>VLOOKUP(B8312,'REGISTRO ABONOS'!$B$8:$BC$10012,54,0)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5"/>
        <v>105000</v>
      </c>
      <c r="K8313" t="e">
        <f>VLOOKUP(B8313,'REGISTRO ABONOS'!$B$8:$BC$10012,54,0)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5"/>
        <v>105000</v>
      </c>
      <c r="K8314" t="e">
        <f>VLOOKUP(B8314,'REGISTRO ABONOS'!$B$8:$BC$10012,54,0)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5"/>
        <v>105000</v>
      </c>
      <c r="K8315" t="e">
        <f>VLOOKUP(B8315,'REGISTRO ABONOS'!$B$8:$BC$10012,54,0)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5"/>
        <v>105000</v>
      </c>
      <c r="K8316" t="e">
        <f>VLOOKUP(B8316,'REGISTRO ABONOS'!$B$8:$BC$10012,54,0)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5"/>
        <v>105000</v>
      </c>
      <c r="K8317" t="e">
        <f>VLOOKUP(B8317,'REGISTRO ABONOS'!$B$8:$BC$10012,54,0)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5"/>
        <v>105000</v>
      </c>
      <c r="K8318" t="e">
        <f>VLOOKUP(B8318,'REGISTRO ABONOS'!$B$8:$BC$10012,54,0)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5"/>
        <v>105000</v>
      </c>
      <c r="K8319" t="e">
        <f>VLOOKUP(B8319,'REGISTRO ABONOS'!$B$8:$BC$10012,54,0)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5"/>
        <v>105000</v>
      </c>
      <c r="K8320" t="e">
        <f>VLOOKUP(B8320,'REGISTRO ABONOS'!$B$8:$BC$10012,54,0)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5"/>
        <v>105000</v>
      </c>
      <c r="K8321" t="e">
        <f>VLOOKUP(B8321,'REGISTRO ABONOS'!$B$8:$BC$10012,54,0)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5"/>
        <v>105000</v>
      </c>
      <c r="K8322" t="e">
        <f>VLOOKUP(B8322,'REGISTRO ABONOS'!$B$8:$BC$10012,54,0)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5"/>
        <v>105000</v>
      </c>
      <c r="K8323" t="e">
        <f>VLOOKUP(B8323,'REGISTRO ABONOS'!$B$8:$BC$10012,54,0)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5"/>
        <v>105000</v>
      </c>
      <c r="K8324" t="e">
        <f>VLOOKUP(B8324,'REGISTRO ABONOS'!$B$8:$BC$10012,54,0)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5"/>
        <v>105000</v>
      </c>
      <c r="K8325" t="e">
        <f>VLOOKUP(B8325,'REGISTRO ABONOS'!$B$8:$BC$10012,54,0)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5"/>
        <v>105000</v>
      </c>
      <c r="K8326" t="e">
        <f>VLOOKUP(B8326,'REGISTRO ABONOS'!$B$8:$BC$10012,54,0)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5"/>
        <v>105000</v>
      </c>
      <c r="K8327" t="e">
        <f>VLOOKUP(B8327,'REGISTRO ABONOS'!$B$8:$BC$10012,54,0)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J8328">
        <f t="shared" si="135"/>
        <v>105000</v>
      </c>
      <c r="K8328" t="e">
        <f>VLOOKUP(B8328,'REGISTRO ABONOS'!$B$8:$BC$10012,54,0)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5"/>
        <v>105000</v>
      </c>
      <c r="K8329" t="e">
        <f>VLOOKUP(B8329,'REGISTRO ABONOS'!$B$8:$BC$10012,54,0)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5"/>
        <v>105000</v>
      </c>
      <c r="K8330" t="e">
        <f>VLOOKUP(B8330,'REGISTRO ABONOS'!$B$8:$BC$10012,54,0)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5"/>
        <v>105000</v>
      </c>
      <c r="K8331" t="e">
        <f>VLOOKUP(B8331,'REGISTRO ABONOS'!$B$8:$BC$10012,54,0)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5"/>
        <v>105000</v>
      </c>
      <c r="K8332" t="e">
        <f>VLOOKUP(B8332,'REGISTRO ABONOS'!$B$8:$BC$10012,54,0)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5"/>
        <v>105000</v>
      </c>
      <c r="K8333" t="e">
        <f>VLOOKUP(B8333,'REGISTRO ABONOS'!$B$8:$BC$10012,54,0)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5"/>
        <v>105000</v>
      </c>
      <c r="K8334" t="e">
        <f>VLOOKUP(B8334,'REGISTRO ABONOS'!$B$8:$BC$10012,54,0)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5"/>
        <v>105000</v>
      </c>
      <c r="K8335" t="e">
        <f>VLOOKUP(B8335,'REGISTRO ABONOS'!$B$8:$BC$10012,54,0)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5"/>
        <v>105000</v>
      </c>
      <c r="K8336" t="e">
        <f>VLOOKUP(B8336,'REGISTRO ABONOS'!$B$8:$BC$10012,54,0)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5"/>
        <v>105000</v>
      </c>
      <c r="K8337" t="e">
        <f>VLOOKUP(B8337,'REGISTRO ABONOS'!$B$8:$BC$10012,54,0)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5"/>
        <v>105000</v>
      </c>
      <c r="K8338" t="e">
        <f>VLOOKUP(B8338,'REGISTRO ABONOS'!$B$8:$BC$10012,54,0)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5"/>
        <v>105000</v>
      </c>
      <c r="K8339" t="e">
        <f>VLOOKUP(B8339,'REGISTRO ABONOS'!$B$8:$BC$10012,54,0)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5"/>
        <v>105000</v>
      </c>
      <c r="K8340" t="e">
        <f>VLOOKUP(B8340,'REGISTRO ABONOS'!$B$8:$BC$10012,54,0)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5"/>
        <v>105000</v>
      </c>
      <c r="K8341" t="e">
        <f>VLOOKUP(B8341,'REGISTRO ABONOS'!$B$8:$BC$10012,54,0)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5"/>
        <v>105000</v>
      </c>
      <c r="K8342" t="e">
        <f>VLOOKUP(B8342,'REGISTRO ABONOS'!$B$8:$BC$10012,54,0)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5"/>
        <v>105000</v>
      </c>
      <c r="K8343" t="e">
        <f>VLOOKUP(B8343,'REGISTRO ABONOS'!$B$8:$BC$10012,54,0)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5"/>
        <v>105000</v>
      </c>
      <c r="K8344" t="e">
        <f>VLOOKUP(B8344,'REGISTRO ABONOS'!$B$8:$BC$10012,54,0)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5"/>
        <v>105000</v>
      </c>
      <c r="K8345" t="e">
        <f>VLOOKUP(B8345,'REGISTRO ABONOS'!$B$8:$BC$10012,54,0)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5"/>
        <v>105000</v>
      </c>
      <c r="K8346" t="e">
        <f>VLOOKUP(B8346,'REGISTRO ABONOS'!$B$8:$BC$10012,54,0)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5"/>
        <v>105000</v>
      </c>
      <c r="K8347" t="e">
        <f>VLOOKUP(B8347,'REGISTRO ABONOS'!$B$8:$BC$10012,54,0)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5"/>
        <v>105000</v>
      </c>
      <c r="K8348" t="e">
        <f>VLOOKUP(B8348,'REGISTRO ABONOS'!$B$8:$BC$10012,54,0)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5"/>
        <v>105000</v>
      </c>
      <c r="K8349" t="e">
        <f>VLOOKUP(B8349,'REGISTRO ABONOS'!$B$8:$BC$10012,54,0)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5"/>
        <v>105000</v>
      </c>
      <c r="K8350" t="e">
        <f>VLOOKUP(B8350,'REGISTRO ABONOS'!$B$8:$BC$10012,54,0)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5"/>
        <v>105000</v>
      </c>
      <c r="K8351" t="e">
        <f>VLOOKUP(B8351,'REGISTRO ABONOS'!$B$8:$BC$10012,54,0)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5"/>
        <v>105000</v>
      </c>
      <c r="K8352" t="e">
        <f>VLOOKUP(B8352,'REGISTRO ABONOS'!$B$8:$BC$10012,54,0)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5"/>
        <v>105000</v>
      </c>
      <c r="K8353" t="e">
        <f>VLOOKUP(B8353,'REGISTRO ABONOS'!$B$8:$BC$10012,54,0)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5"/>
        <v>105000</v>
      </c>
      <c r="K8354" t="e">
        <f>VLOOKUP(B8354,'REGISTRO ABONOS'!$B$8:$BC$10012,54,0)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5"/>
        <v>105000</v>
      </c>
      <c r="K8355" t="e">
        <f>VLOOKUP(B8355,'REGISTRO ABONOS'!$B$8:$BC$10012,54,0)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5"/>
        <v>105000</v>
      </c>
      <c r="K8356" t="e">
        <f>VLOOKUP(B8356,'REGISTRO ABONOS'!$B$8:$BC$10012,54,0)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5"/>
        <v>105000</v>
      </c>
      <c r="K8357" t="e">
        <f>VLOOKUP(B8357,'REGISTRO ABONOS'!$B$8:$BC$10012,54,0)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5"/>
        <v>105000</v>
      </c>
      <c r="K8358" t="e">
        <f>VLOOKUP(B8358,'REGISTRO ABONOS'!$B$8:$BC$10012,54,0)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5"/>
        <v>105000</v>
      </c>
      <c r="K8359" t="e">
        <f>VLOOKUP(B8359,'REGISTRO ABONOS'!$B$8:$BC$10012,54,0)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5"/>
        <v>105000</v>
      </c>
      <c r="K8360" t="e">
        <f>VLOOKUP(B8360,'REGISTRO ABONOS'!$B$8:$BC$10012,54,0)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5"/>
        <v>105000</v>
      </c>
      <c r="K8361" t="e">
        <f>VLOOKUP(B8361,'REGISTRO ABONOS'!$B$8:$BC$10012,54,0)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5"/>
        <v>105000</v>
      </c>
      <c r="K8362" t="e">
        <f>VLOOKUP(B8362,'REGISTRO ABONOS'!$B$8:$BC$10012,54,0)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5"/>
        <v>105000</v>
      </c>
      <c r="K8363" t="e">
        <f>VLOOKUP(B8363,'REGISTRO ABONOS'!$B$8:$BC$10012,54,0)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5"/>
        <v>105000</v>
      </c>
      <c r="K8364" t="e">
        <f>VLOOKUP(B8364,'REGISTRO ABONOS'!$B$8:$BC$10012,54,0)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5"/>
        <v>105000</v>
      </c>
      <c r="K8365" t="e">
        <f>VLOOKUP(B8365,'REGISTRO ABONOS'!$B$8:$BC$10012,54,0)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5"/>
        <v>105000</v>
      </c>
      <c r="K8366" t="e">
        <f>VLOOKUP(B8366,'REGISTRO ABONOS'!$B$8:$BC$10012,54,0)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J8367">
        <f t="shared" si="135"/>
        <v>105000</v>
      </c>
      <c r="K8367" t="e">
        <f>VLOOKUP(B8367,'REGISTRO ABONOS'!$B$8:$BC$10012,54,0)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ABONOS'!$B$8:$BC$10012,54,0)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6"/>
        <v>105000</v>
      </c>
      <c r="K8369" t="e">
        <f>VLOOKUP(B8369,'REGISTRO ABONOS'!$B$8:$BC$10012,54,0)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6"/>
        <v>105000</v>
      </c>
      <c r="K8370" t="e">
        <f>VLOOKUP(B8370,'REGISTRO ABONOS'!$B$8:$BC$10012,54,0)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6"/>
        <v>105000</v>
      </c>
      <c r="K8371" t="e">
        <f>VLOOKUP(B8371,'REGISTRO ABONOS'!$B$8:$BC$10012,54,0)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6"/>
        <v>105000</v>
      </c>
      <c r="K8372" t="e">
        <f>VLOOKUP(B8372,'REGISTRO ABONOS'!$B$8:$BC$10012,54,0)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6"/>
        <v>105000</v>
      </c>
      <c r="K8373" t="e">
        <f>VLOOKUP(B8373,'REGISTRO ABONOS'!$B$8:$BC$10012,54,0)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6"/>
        <v>105000</v>
      </c>
      <c r="K8374" t="e">
        <f>VLOOKUP(B8374,'REGISTRO ABONOS'!$B$8:$BC$10012,54,0)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6"/>
        <v>105000</v>
      </c>
      <c r="K8375" t="e">
        <f>VLOOKUP(B8375,'REGISTRO ABONOS'!$B$8:$BC$10012,54,0)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6"/>
        <v>105000</v>
      </c>
      <c r="K8376" t="e">
        <f>VLOOKUP(B8376,'REGISTRO ABONOS'!$B$8:$BC$10012,54,0)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6"/>
        <v>105000</v>
      </c>
      <c r="K8377" t="e">
        <f>VLOOKUP(B8377,'REGISTRO ABONOS'!$B$8:$BC$10012,54,0)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6"/>
        <v>105000</v>
      </c>
      <c r="K8378" t="e">
        <f>VLOOKUP(B8378,'REGISTRO ABONOS'!$B$8:$BC$10012,54,0)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6"/>
        <v>105000</v>
      </c>
      <c r="K8379" t="e">
        <f>VLOOKUP(B8379,'REGISTRO ABONOS'!$B$8:$BC$10012,54,0)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6"/>
        <v>105000</v>
      </c>
      <c r="K8380" t="e">
        <f>VLOOKUP(B8380,'REGISTRO ABONOS'!$B$8:$BC$10012,54,0)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6"/>
        <v>105000</v>
      </c>
      <c r="K8381" t="e">
        <f>VLOOKUP(B8381,'REGISTRO ABONOS'!$B$8:$BC$10012,54,0)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6"/>
        <v>105000</v>
      </c>
      <c r="K8382" t="e">
        <f>VLOOKUP(B8382,'REGISTRO ABONOS'!$B$8:$BC$10012,54,0)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6"/>
        <v>105000</v>
      </c>
      <c r="K8383" t="e">
        <f>VLOOKUP(B8383,'REGISTRO ABONOS'!$B$8:$BC$10012,54,0)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6"/>
        <v>105000</v>
      </c>
      <c r="K8384" t="e">
        <f>VLOOKUP(B8384,'REGISTRO ABONOS'!$B$8:$BC$10012,54,0)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6"/>
        <v>105000</v>
      </c>
      <c r="K8385" t="e">
        <f>VLOOKUP(B8385,'REGISTRO ABONOS'!$B$8:$BC$10012,54,0)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6"/>
        <v>105000</v>
      </c>
      <c r="K8386" t="e">
        <f>VLOOKUP(B8386,'REGISTRO ABONOS'!$B$8:$BC$10012,54,0)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6"/>
        <v>105000</v>
      </c>
      <c r="K8387" t="e">
        <f>VLOOKUP(B8387,'REGISTRO ABONOS'!$B$8:$BC$10012,54,0)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6"/>
        <v>105000</v>
      </c>
      <c r="K8388" t="e">
        <f>VLOOKUP(B8388,'REGISTRO ABONOS'!$B$8:$BC$10012,54,0)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6"/>
        <v>105000</v>
      </c>
      <c r="K8389" t="e">
        <f>VLOOKUP(B8389,'REGISTRO ABONOS'!$B$8:$BC$10012,54,0)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6"/>
        <v>105000</v>
      </c>
      <c r="K8390" t="e">
        <f>VLOOKUP(B8390,'REGISTRO ABONOS'!$B$8:$BC$10012,54,0)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6"/>
        <v>105000</v>
      </c>
      <c r="K8391" t="e">
        <f>VLOOKUP(B8391,'REGISTRO ABONOS'!$B$8:$BC$10012,54,0)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6"/>
        <v>105000</v>
      </c>
      <c r="K8392" t="e">
        <f>VLOOKUP(B8392,'REGISTRO ABONOS'!$B$8:$BC$10012,54,0)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6"/>
        <v>105000</v>
      </c>
      <c r="K8393" t="e">
        <f>VLOOKUP(B8393,'REGISTRO ABONOS'!$B$8:$BC$10012,54,0)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6"/>
        <v>105000</v>
      </c>
      <c r="K8394" t="e">
        <f>VLOOKUP(B8394,'REGISTRO ABONOS'!$B$8:$BC$10012,54,0)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6"/>
        <v>105000</v>
      </c>
      <c r="K8395" t="e">
        <f>VLOOKUP(B8395,'REGISTRO ABONOS'!$B$8:$BC$10012,54,0)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6"/>
        <v>105000</v>
      </c>
      <c r="K8396" t="e">
        <f>VLOOKUP(B8396,'REGISTRO ABONOS'!$B$8:$BC$10012,54,0)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6"/>
        <v>105000</v>
      </c>
      <c r="K8397" t="e">
        <f>VLOOKUP(B8397,'REGISTRO ABONOS'!$B$8:$BC$10012,54,0)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6"/>
        <v>105000</v>
      </c>
      <c r="K8398" t="e">
        <f>VLOOKUP(B8398,'REGISTRO ABONOS'!$B$8:$BC$10012,54,0)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6"/>
        <v>105000</v>
      </c>
      <c r="K8399" t="e">
        <f>VLOOKUP(B8399,'REGISTRO ABONOS'!$B$8:$BC$10012,54,0)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6"/>
        <v>105000</v>
      </c>
      <c r="K8400" t="e">
        <f>VLOOKUP(B8400,'REGISTRO ABONOS'!$B$8:$BC$10012,54,0)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6"/>
        <v>105000</v>
      </c>
      <c r="K8401" t="e">
        <f>VLOOKUP(B8401,'REGISTRO ABONOS'!$B$8:$BC$10012,54,0)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6"/>
        <v>105000</v>
      </c>
      <c r="K8402" t="e">
        <f>VLOOKUP(B8402,'REGISTRO ABONOS'!$B$8:$BC$10012,54,0)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6"/>
        <v>105000</v>
      </c>
      <c r="K8403" t="e">
        <f>VLOOKUP(B8403,'REGISTRO ABONOS'!$B$8:$BC$10012,54,0)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6"/>
        <v>105000</v>
      </c>
      <c r="K8404" t="e">
        <f>VLOOKUP(B8404,'REGISTRO ABONOS'!$B$8:$BC$10012,54,0)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6"/>
        <v>105000</v>
      </c>
      <c r="K8405" t="e">
        <f>VLOOKUP(B8405,'REGISTRO ABONOS'!$B$8:$BC$10012,54,0)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6"/>
        <v>105000</v>
      </c>
      <c r="K8406" t="e">
        <f>VLOOKUP(B8406,'REGISTRO ABONOS'!$B$8:$BC$10012,54,0)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6"/>
        <v>105000</v>
      </c>
      <c r="K8407" t="e">
        <f>VLOOKUP(B8407,'REGISTRO ABONOS'!$B$8:$BC$10012,54,0)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6"/>
        <v>105000</v>
      </c>
      <c r="K8408" t="e">
        <f>VLOOKUP(B8408,'REGISTRO ABONOS'!$B$8:$BC$10012,54,0)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6"/>
        <v>105000</v>
      </c>
      <c r="K8409" t="e">
        <f>VLOOKUP(B8409,'REGISTRO ABONOS'!$B$8:$BC$10012,54,0)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6"/>
        <v>105000</v>
      </c>
      <c r="K8410" t="e">
        <f>VLOOKUP(B8410,'REGISTRO ABONOS'!$B$8:$BC$10012,54,0)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6"/>
        <v>105000</v>
      </c>
      <c r="K8411" t="e">
        <f>VLOOKUP(B8411,'REGISTRO ABONOS'!$B$8:$BC$10012,54,0)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6"/>
        <v>105000</v>
      </c>
      <c r="K8412" t="e">
        <f>VLOOKUP(B8412,'REGISTRO ABONOS'!$B$8:$BC$10012,54,0)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6"/>
        <v>105000</v>
      </c>
      <c r="K8413" t="e">
        <f>VLOOKUP(B8413,'REGISTRO ABONOS'!$B$8:$BC$10012,54,0)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6"/>
        <v>105000</v>
      </c>
      <c r="K8414" t="e">
        <f>VLOOKUP(B8414,'REGISTRO ABONOS'!$B$8:$BC$10012,54,0)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6"/>
        <v>105000</v>
      </c>
      <c r="K8415" t="e">
        <f>VLOOKUP(B8415,'REGISTRO ABONOS'!$B$8:$BC$10012,54,0)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6"/>
        <v>105000</v>
      </c>
      <c r="K8416" t="e">
        <f>VLOOKUP(B8416,'REGISTRO ABONOS'!$B$8:$BC$10012,54,0)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6"/>
        <v>105000</v>
      </c>
      <c r="K8417" t="e">
        <f>VLOOKUP(B8417,'REGISTRO ABONOS'!$B$8:$BC$10012,54,0)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6"/>
        <v>105000</v>
      </c>
      <c r="K8418" t="e">
        <f>VLOOKUP(B8418,'REGISTRO ABONOS'!$B$8:$BC$10012,54,0)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6"/>
        <v>105000</v>
      </c>
      <c r="K8419" t="e">
        <f>VLOOKUP(B8419,'REGISTRO ABONOS'!$B$8:$BC$10012,54,0)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6"/>
        <v>105000</v>
      </c>
      <c r="K8420" t="e">
        <f>VLOOKUP(B8420,'REGISTRO ABONOS'!$B$8:$BC$10012,54,0)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6"/>
        <v>105000</v>
      </c>
      <c r="K8421" t="e">
        <f>VLOOKUP(B8421,'REGISTRO ABONOS'!$B$8:$BC$10012,54,0)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6"/>
        <v>105000</v>
      </c>
      <c r="K8422" t="e">
        <f>VLOOKUP(B8422,'REGISTRO ABONOS'!$B$8:$BC$10012,54,0)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6"/>
        <v>105000</v>
      </c>
      <c r="K8423" t="e">
        <f>VLOOKUP(B8423,'REGISTRO ABONOS'!$B$8:$BC$10012,54,0)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6"/>
        <v>105000</v>
      </c>
      <c r="K8424" t="e">
        <f>VLOOKUP(B8424,'REGISTRO ABONOS'!$B$8:$BC$10012,54,0)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6"/>
        <v>105000</v>
      </c>
      <c r="K8425" t="e">
        <f>VLOOKUP(B8425,'REGISTRO ABONOS'!$B$8:$BC$10012,54,0)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6"/>
        <v>105000</v>
      </c>
      <c r="K8426" t="e">
        <f>VLOOKUP(B8426,'REGISTRO ABONOS'!$B$8:$BC$10012,54,0)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6"/>
        <v>105000</v>
      </c>
      <c r="K8427" t="e">
        <f>VLOOKUP(B8427,'REGISTRO ABONOS'!$B$8:$BC$10012,54,0)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6"/>
        <v>105000</v>
      </c>
      <c r="K8428" t="e">
        <f>VLOOKUP(B8428,'REGISTRO ABONOS'!$B$8:$BC$10012,54,0)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6"/>
        <v>105000</v>
      </c>
      <c r="K8429" t="e">
        <f>VLOOKUP(B8429,'REGISTRO ABONOS'!$B$8:$BC$10012,54,0)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6"/>
        <v>105000</v>
      </c>
      <c r="K8430" t="e">
        <f>VLOOKUP(B8430,'REGISTRO ABONOS'!$B$8:$BC$10012,54,0)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6"/>
        <v>105000</v>
      </c>
      <c r="K8431" t="e">
        <f>VLOOKUP(B8431,'REGISTRO ABONOS'!$B$8:$BC$10012,54,0)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ABONOS'!$B$8:$BC$10012,54,0)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7"/>
        <v>105000</v>
      </c>
      <c r="K8433" t="e">
        <f>VLOOKUP(B8433,'REGISTRO ABONOS'!$B$8:$BC$10012,54,0)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7"/>
        <v>105000</v>
      </c>
      <c r="K8434" t="e">
        <f>VLOOKUP(B8434,'REGISTRO ABONOS'!$B$8:$BC$10012,54,0)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7"/>
        <v>105000</v>
      </c>
      <c r="K8435" t="e">
        <f>VLOOKUP(B8435,'REGISTRO ABONOS'!$B$8:$BC$10012,54,0)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J8436">
        <f t="shared" si="137"/>
        <v>105000</v>
      </c>
      <c r="K8436" t="e">
        <f>VLOOKUP(B8436,'REGISTRO ABONOS'!$B$8:$BC$10012,54,0)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7"/>
        <v>105000</v>
      </c>
      <c r="K8437" t="e">
        <f>VLOOKUP(B8437,'REGISTRO ABONOS'!$B$8:$BC$10012,54,0)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7"/>
        <v>105000</v>
      </c>
      <c r="K8438" t="e">
        <f>VLOOKUP(B8438,'REGISTRO ABONOS'!$B$8:$BC$10012,54,0)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7"/>
        <v>105000</v>
      </c>
      <c r="K8439" t="e">
        <f>VLOOKUP(B8439,'REGISTRO ABONOS'!$B$8:$BC$10012,54,0)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7"/>
        <v>105000</v>
      </c>
      <c r="K8440" t="e">
        <f>VLOOKUP(B8440,'REGISTRO ABONOS'!$B$8:$BC$10012,54,0)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7"/>
        <v>105000</v>
      </c>
      <c r="K8441" t="e">
        <f>VLOOKUP(B8441,'REGISTRO ABONOS'!$B$8:$BC$10012,54,0)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7"/>
        <v>105000</v>
      </c>
      <c r="K8442" t="e">
        <f>VLOOKUP(B8442,'REGISTRO ABONOS'!$B$8:$BC$10012,54,0)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7"/>
        <v>105000</v>
      </c>
      <c r="K8443" t="e">
        <f>VLOOKUP(B8443,'REGISTRO ABONOS'!$B$8:$BC$10012,54,0)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J8444">
        <f t="shared" si="137"/>
        <v>105000</v>
      </c>
      <c r="K8444" t="e">
        <f>VLOOKUP(B8444,'REGISTRO ABONOS'!$B$8:$BC$10012,54,0)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7"/>
        <v>105000</v>
      </c>
      <c r="K8445" t="e">
        <f>VLOOKUP(B8445,'REGISTRO ABONOS'!$B$8:$BC$10012,54,0)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7"/>
        <v>105000</v>
      </c>
      <c r="K8446" t="e">
        <f>VLOOKUP(B8446,'REGISTRO ABONOS'!$B$8:$BC$10012,54,0)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7"/>
        <v>105000</v>
      </c>
      <c r="K8447" t="e">
        <f>VLOOKUP(B8447,'REGISTRO ABONOS'!$B$8:$BC$10012,54,0)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7"/>
        <v>105000</v>
      </c>
      <c r="K8448" t="e">
        <f>VLOOKUP(B8448,'REGISTRO ABONOS'!$B$8:$BC$10012,54,0)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7"/>
        <v>105000</v>
      </c>
      <c r="K8449" t="e">
        <f>VLOOKUP(B8449,'REGISTRO ABONOS'!$B$8:$BC$10012,54,0)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7"/>
        <v>105000</v>
      </c>
      <c r="K8450" t="e">
        <f>VLOOKUP(B8450,'REGISTRO ABONOS'!$B$8:$BC$10012,54,0)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7"/>
        <v>105000</v>
      </c>
      <c r="K8451" t="e">
        <f>VLOOKUP(B8451,'REGISTRO ABONOS'!$B$8:$BC$10012,54,0)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7"/>
        <v>105000</v>
      </c>
      <c r="K8452" t="e">
        <f>VLOOKUP(B8452,'REGISTRO ABONOS'!$B$8:$BC$10012,54,0)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7"/>
        <v>105000</v>
      </c>
      <c r="K8453" t="e">
        <f>VLOOKUP(B8453,'REGISTRO ABONOS'!$B$8:$BC$10012,54,0)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7"/>
        <v>105000</v>
      </c>
      <c r="K8454" t="e">
        <f>VLOOKUP(B8454,'REGISTRO ABONOS'!$B$8:$BC$10012,54,0)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7"/>
        <v>105000</v>
      </c>
      <c r="K8455" t="e">
        <f>VLOOKUP(B8455,'REGISTRO ABONOS'!$B$8:$BC$10012,54,0)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7"/>
        <v>105000</v>
      </c>
      <c r="K8456" t="e">
        <f>VLOOKUP(B8456,'REGISTRO ABONOS'!$B$8:$BC$10012,54,0)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7"/>
        <v>105000</v>
      </c>
      <c r="K8457" t="e">
        <f>VLOOKUP(B8457,'REGISTRO ABONOS'!$B$8:$BC$10012,54,0)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7"/>
        <v>105000</v>
      </c>
      <c r="K8458" t="e">
        <f>VLOOKUP(B8458,'REGISTRO ABONOS'!$B$8:$BC$10012,54,0)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7"/>
        <v>105000</v>
      </c>
      <c r="K8459" t="e">
        <f>VLOOKUP(B8459,'REGISTRO ABONOS'!$B$8:$BC$10012,54,0)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7"/>
        <v>105000</v>
      </c>
      <c r="K8460" t="e">
        <f>VLOOKUP(B8460,'REGISTRO ABONOS'!$B$8:$BC$10012,54,0)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7"/>
        <v>105000</v>
      </c>
      <c r="K8461" t="e">
        <f>VLOOKUP(B8461,'REGISTRO ABONOS'!$B$8:$BC$10012,54,0)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7"/>
        <v>105000</v>
      </c>
      <c r="K8462" t="e">
        <f>VLOOKUP(B8462,'REGISTRO ABONOS'!$B$8:$BC$10012,54,0)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7"/>
        <v>105000</v>
      </c>
      <c r="K8463" t="e">
        <f>VLOOKUP(B8463,'REGISTRO ABONOS'!$B$8:$BC$10012,54,0)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7"/>
        <v>105000</v>
      </c>
      <c r="K8464" t="e">
        <f>VLOOKUP(B8464,'REGISTRO ABONOS'!$B$8:$BC$10012,54,0)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7"/>
        <v>105000</v>
      </c>
      <c r="K8465" t="e">
        <f>VLOOKUP(B8465,'REGISTRO ABONOS'!$B$8:$BC$10012,54,0)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7"/>
        <v>105000</v>
      </c>
      <c r="K8466" t="e">
        <f>VLOOKUP(B8466,'REGISTRO ABONOS'!$B$8:$BC$10012,54,0)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7"/>
        <v>105000</v>
      </c>
      <c r="K8467" t="e">
        <f>VLOOKUP(B8467,'REGISTRO ABONOS'!$B$8:$BC$10012,54,0)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7"/>
        <v>105000</v>
      </c>
      <c r="K8468" t="e">
        <f>VLOOKUP(B8468,'REGISTRO ABONOS'!$B$8:$BC$10012,54,0)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7"/>
        <v>105000</v>
      </c>
      <c r="K8469" t="e">
        <f>VLOOKUP(B8469,'REGISTRO ABONOS'!$B$8:$BC$10012,54,0)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7"/>
        <v>105000</v>
      </c>
      <c r="K8470" t="e">
        <f>VLOOKUP(B8470,'REGISTRO ABONOS'!$B$8:$BC$10012,54,0)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7"/>
        <v>105000</v>
      </c>
      <c r="K8471" t="e">
        <f>VLOOKUP(B8471,'REGISTRO ABONOS'!$B$8:$BC$10012,54,0)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7"/>
        <v>105000</v>
      </c>
      <c r="K8472" t="e">
        <f>VLOOKUP(B8472,'REGISTRO ABONOS'!$B$8:$BC$10012,54,0)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7"/>
        <v>105000</v>
      </c>
      <c r="K8473" t="e">
        <f>VLOOKUP(B8473,'REGISTRO ABONOS'!$B$8:$BC$10012,54,0)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7"/>
        <v>105000</v>
      </c>
      <c r="K8474" t="e">
        <f>VLOOKUP(B8474,'REGISTRO ABONOS'!$B$8:$BC$10012,54,0)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7"/>
        <v>105000</v>
      </c>
      <c r="K8475" t="e">
        <f>VLOOKUP(B8475,'REGISTRO ABONOS'!$B$8:$BC$10012,54,0)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7"/>
        <v>105000</v>
      </c>
      <c r="K8476" t="e">
        <f>VLOOKUP(B8476,'REGISTRO ABONOS'!$B$8:$BC$10012,54,0)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7"/>
        <v>105000</v>
      </c>
      <c r="K8477" t="e">
        <f>VLOOKUP(B8477,'REGISTRO ABONOS'!$B$8:$BC$10012,54,0)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7"/>
        <v>105000</v>
      </c>
      <c r="K8478" t="e">
        <f>VLOOKUP(B8478,'REGISTRO ABONOS'!$B$8:$BC$10012,54,0)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7"/>
        <v>105000</v>
      </c>
      <c r="K8479" t="e">
        <f>VLOOKUP(B8479,'REGISTRO ABONOS'!$B$8:$BC$10012,54,0)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7"/>
        <v>105000</v>
      </c>
      <c r="K8480" t="e">
        <f>VLOOKUP(B8480,'REGISTRO ABONOS'!$B$8:$BC$10012,54,0)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7"/>
        <v>105000</v>
      </c>
      <c r="K8481" t="e">
        <f>VLOOKUP(B8481,'REGISTRO ABONOS'!$B$8:$BC$10012,54,0)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7"/>
        <v>105000</v>
      </c>
      <c r="K8482" t="e">
        <f>VLOOKUP(B8482,'REGISTRO ABONOS'!$B$8:$BC$10012,54,0)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7"/>
        <v>105000</v>
      </c>
      <c r="K8483" t="e">
        <f>VLOOKUP(B8483,'REGISTRO ABONOS'!$B$8:$BC$10012,54,0)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7"/>
        <v>105000</v>
      </c>
      <c r="K8484" t="e">
        <f>VLOOKUP(B8484,'REGISTRO ABONOS'!$B$8:$BC$10012,54,0)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7"/>
        <v>105000</v>
      </c>
      <c r="K8485" t="e">
        <f>VLOOKUP(B8485,'REGISTRO ABONOS'!$B$8:$BC$10012,54,0)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7"/>
        <v>105000</v>
      </c>
      <c r="K8486" t="e">
        <f>VLOOKUP(B8486,'REGISTRO ABONOS'!$B$8:$BC$10012,54,0)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7"/>
        <v>105000</v>
      </c>
      <c r="K8487" t="e">
        <f>VLOOKUP(B8487,'REGISTRO ABONOS'!$B$8:$BC$10012,54,0)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7"/>
        <v>105000</v>
      </c>
      <c r="K8488" t="e">
        <f>VLOOKUP(B8488,'REGISTRO ABONOS'!$B$8:$BC$10012,54,0)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7"/>
        <v>105000</v>
      </c>
      <c r="K8489" t="e">
        <f>VLOOKUP(B8489,'REGISTRO ABONOS'!$B$8:$BC$10012,54,0)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7"/>
        <v>105000</v>
      </c>
      <c r="K8490" t="e">
        <f>VLOOKUP(B8490,'REGISTRO ABONOS'!$B$8:$BC$10012,54,0)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7"/>
        <v>105000</v>
      </c>
      <c r="K8491" t="e">
        <f>VLOOKUP(B8491,'REGISTRO ABONOS'!$B$8:$BC$10012,54,0)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7"/>
        <v>105000</v>
      </c>
      <c r="K8492" t="e">
        <f>VLOOKUP(B8492,'REGISTRO ABONOS'!$B$8:$BC$10012,54,0)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7"/>
        <v>105000</v>
      </c>
      <c r="K8493" t="e">
        <f>VLOOKUP(B8493,'REGISTRO ABONOS'!$B$8:$BC$10012,54,0)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7"/>
        <v>105000</v>
      </c>
      <c r="K8494" t="e">
        <f>VLOOKUP(B8494,'REGISTRO ABONOS'!$B$8:$BC$10012,54,0)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7"/>
        <v>105000</v>
      </c>
      <c r="K8495" t="e">
        <f>VLOOKUP(B8495,'REGISTRO ABONOS'!$B$8:$BC$10012,54,0)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9" si="138">IF(C8496&gt;43607,130000,105000)</f>
        <v>105000</v>
      </c>
      <c r="K8496" t="e">
        <f>VLOOKUP(B8496,'REGISTRO ABONOS'!$B$8:$BC$10012,54,0)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8"/>
        <v>105000</v>
      </c>
      <c r="K8497" t="e">
        <f>VLOOKUP(B8497,'REGISTRO ABONOS'!$B$8:$BC$10012,54,0)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8"/>
        <v>105000</v>
      </c>
      <c r="K8498" t="e">
        <f>VLOOKUP(B8498,'REGISTRO ABONOS'!$B$8:$BC$10012,54,0)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8"/>
        <v>105000</v>
      </c>
      <c r="K8499" t="e">
        <f>VLOOKUP(B8499,'REGISTRO ABONOS'!$B$8:$BC$10012,54,0)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8"/>
        <v>105000</v>
      </c>
      <c r="K8500" t="e">
        <f>VLOOKUP(B8500,'REGISTRO ABONOS'!$B$8:$BC$10012,54,0)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8"/>
        <v>105000</v>
      </c>
      <c r="K8501" t="e">
        <f>VLOOKUP(B8501,'REGISTRO ABONOS'!$B$8:$BC$10012,54,0)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8"/>
        <v>105000</v>
      </c>
      <c r="K8502" t="e">
        <f>VLOOKUP(B8502,'REGISTRO ABONOS'!$B$8:$BC$10012,54,0)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8"/>
        <v>105000</v>
      </c>
      <c r="K8503" t="e">
        <f>VLOOKUP(B8503,'REGISTRO ABONOS'!$B$8:$BC$10012,54,0)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8"/>
        <v>105000</v>
      </c>
      <c r="K8504" t="e">
        <f>VLOOKUP(B8504,'REGISTRO ABONOS'!$B$8:$BC$10012,54,0)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8"/>
        <v>105000</v>
      </c>
      <c r="K8505" t="e">
        <f>VLOOKUP(B8505,'REGISTRO ABONOS'!$B$8:$BC$10012,54,0)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8"/>
        <v>105000</v>
      </c>
      <c r="K8506" t="e">
        <f>VLOOKUP(B8506,'REGISTRO ABONOS'!$B$8:$BC$10012,54,0)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8"/>
        <v>105000</v>
      </c>
      <c r="K8507" t="e">
        <f>VLOOKUP(B8507,'REGISTRO ABONOS'!$B$8:$BC$10012,54,0)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J8508">
        <f t="shared" si="138"/>
        <v>105000</v>
      </c>
      <c r="K8508" t="e">
        <f>VLOOKUP(B8508,'REGISTRO ABONOS'!$B$8:$BC$10012,54,0)</f>
        <v>#N/A</v>
      </c>
      <c r="L8508" t="e">
        <f>IF(Tabla26[[#This Row],[VALOR RESTANTE]]&lt;Tabla26[[#This Row],[VALOR]],"NO DISPONIBLE","DISPONIBLE")</f>
        <v>#N/A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8"/>
        <v>105000</v>
      </c>
      <c r="K8509" t="e">
        <f>VLOOKUP(B8509,'REGISTRO ABONOS'!$B$8:$BC$10012,54,0)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8"/>
        <v>105000</v>
      </c>
      <c r="K8510" t="e">
        <f>VLOOKUP(B8510,'REGISTRO ABONOS'!$B$8:$BC$10012,54,0)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8"/>
        <v>105000</v>
      </c>
      <c r="K8511" t="e">
        <f>VLOOKUP(B8511,'REGISTRO ABONOS'!$B$8:$BC$10012,54,0)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8"/>
        <v>105000</v>
      </c>
      <c r="K8512" t="e">
        <f>VLOOKUP(B8512,'REGISTRO ABONOS'!$B$8:$BC$10012,54,0)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8"/>
        <v>105000</v>
      </c>
      <c r="K8513" t="e">
        <f>VLOOKUP(B8513,'REGISTRO ABONOS'!$B$8:$BC$10012,54,0)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8"/>
        <v>105000</v>
      </c>
      <c r="K8514" t="e">
        <f>VLOOKUP(B8514,'REGISTRO ABONOS'!$B$8:$BC$10012,54,0)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8"/>
        <v>105000</v>
      </c>
      <c r="K8515" t="e">
        <f>VLOOKUP(B8515,'REGISTRO ABONOS'!$B$8:$BC$10012,54,0)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8"/>
        <v>105000</v>
      </c>
      <c r="K8516" t="e">
        <f>VLOOKUP(B8516,'REGISTRO ABONOS'!$B$8:$BC$10012,54,0)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8"/>
        <v>105000</v>
      </c>
      <c r="K8517" t="e">
        <f>VLOOKUP(B8517,'REGISTRO ABONOS'!$B$8:$BC$10012,54,0)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8"/>
        <v>105000</v>
      </c>
      <c r="K8518" t="e">
        <f>VLOOKUP(B8518,'REGISTRO ABONOS'!$B$8:$BC$10012,54,0)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8"/>
        <v>105000</v>
      </c>
      <c r="K8519" t="e">
        <f>VLOOKUP(B8519,'REGISTRO ABONOS'!$B$8:$BC$10012,54,0)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8"/>
        <v>105000</v>
      </c>
      <c r="K8520" t="e">
        <f>VLOOKUP(B8520,'REGISTRO ABONOS'!$B$8:$BC$10012,54,0)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8"/>
        <v>105000</v>
      </c>
      <c r="K8521" t="e">
        <f>VLOOKUP(B8521,'REGISTRO ABONOS'!$B$8:$BC$10012,54,0)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8"/>
        <v>105000</v>
      </c>
      <c r="K8522" t="e">
        <f>VLOOKUP(B8522,'REGISTRO ABONOS'!$B$8:$BC$10012,54,0)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8"/>
        <v>105000</v>
      </c>
      <c r="K8523" t="e">
        <f>VLOOKUP(B8523,'REGISTRO ABONOS'!$B$8:$BC$10012,54,0)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8"/>
        <v>105000</v>
      </c>
      <c r="K8524" t="e">
        <f>VLOOKUP(B8524,'REGISTRO ABONOS'!$B$8:$BC$10012,54,0)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8"/>
        <v>105000</v>
      </c>
      <c r="K8525" t="e">
        <f>VLOOKUP(B8525,'REGISTRO ABONOS'!$B$8:$BC$10012,54,0)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8"/>
        <v>105000</v>
      </c>
      <c r="K8526" t="e">
        <f>VLOOKUP(B8526,'REGISTRO ABONOS'!$B$8:$BC$10012,54,0)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8"/>
        <v>105000</v>
      </c>
      <c r="K8527" t="e">
        <f>VLOOKUP(B8527,'REGISTRO ABONOS'!$B$8:$BC$10012,54,0)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8"/>
        <v>105000</v>
      </c>
      <c r="K8528" t="e">
        <f>VLOOKUP(B8528,'REGISTRO ABONOS'!$B$8:$BC$10012,54,0)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J8529">
        <f t="shared" si="138"/>
        <v>105000</v>
      </c>
      <c r="K8529" t="e">
        <f>VLOOKUP(B8529,'REGISTRO ABONOS'!$B$8:$BC$10012,54,0)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8"/>
        <v>105000</v>
      </c>
      <c r="K8530" t="e">
        <f>VLOOKUP(B8530,'REGISTRO ABONOS'!$B$8:$BC$10012,54,0)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8"/>
        <v>105000</v>
      </c>
      <c r="K8531" t="e">
        <f>VLOOKUP(B8531,'REGISTRO ABONOS'!$B$8:$BC$10012,54,0)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8"/>
        <v>105000</v>
      </c>
      <c r="K8532" t="e">
        <f>VLOOKUP(B8532,'REGISTRO ABONOS'!$B$8:$BC$10012,54,0)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8"/>
        <v>105000</v>
      </c>
      <c r="K8533" t="e">
        <f>VLOOKUP(B8533,'REGISTRO ABONOS'!$B$8:$BC$10012,54,0)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8"/>
        <v>105000</v>
      </c>
      <c r="K8534" t="e">
        <f>VLOOKUP(B8534,'REGISTRO ABONOS'!$B$8:$BC$10012,54,0)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8"/>
        <v>105000</v>
      </c>
      <c r="K8535" t="e">
        <f>VLOOKUP(B8535,'REGISTRO ABONOS'!$B$8:$BC$10012,54,0)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8"/>
        <v>105000</v>
      </c>
      <c r="K8536" t="e">
        <f>VLOOKUP(B8536,'REGISTRO ABONOS'!$B$8:$BC$10012,54,0)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8"/>
        <v>105000</v>
      </c>
      <c r="K8537" t="e">
        <f>VLOOKUP(B8537,'REGISTRO ABONOS'!$B$8:$BC$10012,54,0)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8"/>
        <v>105000</v>
      </c>
      <c r="K8538" t="e">
        <f>VLOOKUP(B8538,'REGISTRO ABONOS'!$B$8:$BC$10012,54,0)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8"/>
        <v>105000</v>
      </c>
      <c r="K8539" t="e">
        <f>VLOOKUP(B8539,'REGISTRO ABONOS'!$B$8:$BC$10012,54,0)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8"/>
        <v>105000</v>
      </c>
      <c r="K8540" t="e">
        <f>VLOOKUP(B8540,'REGISTRO ABONOS'!$B$8:$BC$10012,54,0)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J8541">
        <f t="shared" si="138"/>
        <v>105000</v>
      </c>
      <c r="K8541" t="e">
        <f>VLOOKUP(B8541,'REGISTRO ABONOS'!$B$8:$BC$10012,54,0)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8"/>
        <v>105000</v>
      </c>
      <c r="K8542" t="e">
        <f>VLOOKUP(B8542,'REGISTRO ABONOS'!$B$8:$BC$10012,54,0)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8"/>
        <v>105000</v>
      </c>
      <c r="K8543" t="e">
        <f>VLOOKUP(B8543,'REGISTRO ABONOS'!$B$8:$BC$10012,54,0)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8"/>
        <v>105000</v>
      </c>
      <c r="K8544" t="e">
        <f>VLOOKUP(B8544,'REGISTRO ABONOS'!$B$8:$BC$10012,54,0)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8"/>
        <v>105000</v>
      </c>
      <c r="K8545" t="e">
        <f>VLOOKUP(B8545,'REGISTRO ABONOS'!$B$8:$BC$10012,54,0)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8"/>
        <v>105000</v>
      </c>
      <c r="K8546" t="e">
        <f>VLOOKUP(B8546,'REGISTRO ABONOS'!$B$8:$BC$10012,54,0)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8"/>
        <v>105000</v>
      </c>
      <c r="K8547" t="e">
        <f>VLOOKUP(B8547,'REGISTRO ABONOS'!$B$8:$BC$10012,54,0)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8"/>
        <v>105000</v>
      </c>
      <c r="K8548" t="e">
        <f>VLOOKUP(B8548,'REGISTRO ABONOS'!$B$8:$BC$10012,54,0)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8"/>
        <v>105000</v>
      </c>
      <c r="K8549" t="e">
        <f>VLOOKUP(B8549,'REGISTRO ABONOS'!$B$8:$BC$10012,54,0)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8"/>
        <v>105000</v>
      </c>
      <c r="K8550" t="e">
        <f>VLOOKUP(B8550,'REGISTRO ABONOS'!$B$8:$BC$10012,54,0)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8"/>
        <v>105000</v>
      </c>
      <c r="K8551" t="e">
        <f>VLOOKUP(B8551,'REGISTRO ABONOS'!$B$8:$BC$10012,54,0)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8"/>
        <v>105000</v>
      </c>
      <c r="K8552" t="e">
        <f>VLOOKUP(B8552,'REGISTRO ABONOS'!$B$8:$BC$10012,54,0)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8"/>
        <v>105000</v>
      </c>
      <c r="K8553" t="e">
        <f>VLOOKUP(B8553,'REGISTRO ABONOS'!$B$8:$BC$10012,54,0)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>
        <v>8545</v>
      </c>
      <c r="J8554">
        <f t="shared" si="138"/>
        <v>105000</v>
      </c>
      <c r="K8554" t="e">
        <f>VLOOKUP(B8554,'REGISTRO ABONOS'!$B$8:$BC$10012,54,0)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ABONOS'!$B$8:$BC$10012,54,0)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ABONOS'!$B$8:$BC$10012,54,0)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ABONOS'!$B$8:$BC$10012,54,0)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ABONOS'!$B$8:$BC$10012,54,0)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ABONOS'!$B$8:$BC$10012,54,0)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ref="J8560:J8623" si="139">IF(C8560&gt;43607,130000,105000)</f>
        <v>105000</v>
      </c>
      <c r="K8560" t="e">
        <f>VLOOKUP(B8560,'REGISTRO ABONOS'!$B$8:$BC$10012,54,0)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9"/>
        <v>105000</v>
      </c>
      <c r="K8561" t="e">
        <f>VLOOKUP(B8561,'REGISTRO ABONOS'!$B$8:$BC$10012,54,0)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9"/>
        <v>105000</v>
      </c>
      <c r="K8562" t="e">
        <f>VLOOKUP(B8562,'REGISTRO ABONOS'!$B$8:$BC$10012,54,0)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9"/>
        <v>105000</v>
      </c>
      <c r="K8563" t="e">
        <f>VLOOKUP(B8563,'REGISTRO ABONOS'!$B$8:$BC$10012,54,0)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9"/>
        <v>105000</v>
      </c>
      <c r="K8564" t="e">
        <f>VLOOKUP(B8564,'REGISTRO ABONOS'!$B$8:$BC$10012,54,0)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9"/>
        <v>105000</v>
      </c>
      <c r="K8565" t="e">
        <f>VLOOKUP(B8565,'REGISTRO ABONOS'!$B$8:$BC$10012,54,0)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9"/>
        <v>105000</v>
      </c>
      <c r="K8566" t="e">
        <f>VLOOKUP(B8566,'REGISTRO ABONOS'!$B$8:$BC$10012,54,0)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9"/>
        <v>105000</v>
      </c>
      <c r="K8567" t="e">
        <f>VLOOKUP(B8567,'REGISTRO ABONOS'!$B$8:$BC$10012,54,0)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9"/>
        <v>105000</v>
      </c>
      <c r="K8568" t="e">
        <f>VLOOKUP(B8568,'REGISTRO ABONOS'!$B$8:$BC$10012,54,0)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9"/>
        <v>105000</v>
      </c>
      <c r="K8569" t="e">
        <f>VLOOKUP(B8569,'REGISTRO ABONOS'!$B$8:$BC$10012,54,0)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9"/>
        <v>105000</v>
      </c>
      <c r="K8570" t="e">
        <f>VLOOKUP(B8570,'REGISTRO ABONOS'!$B$8:$BC$10012,54,0)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9"/>
        <v>105000</v>
      </c>
      <c r="K8571" t="e">
        <f>VLOOKUP(B8571,'REGISTRO ABONOS'!$B$8:$BC$10012,54,0)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9"/>
        <v>105000</v>
      </c>
      <c r="K8572" t="e">
        <f>VLOOKUP(B8572,'REGISTRO ABONOS'!$B$8:$BC$10012,54,0)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9"/>
        <v>105000</v>
      </c>
      <c r="K8573" t="e">
        <f>VLOOKUP(B8573,'REGISTRO ABONOS'!$B$8:$BC$10012,54,0)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9"/>
        <v>105000</v>
      </c>
      <c r="K8574" t="e">
        <f>VLOOKUP(B8574,'REGISTRO ABONOS'!$B$8:$BC$10012,54,0)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9"/>
        <v>105000</v>
      </c>
      <c r="K8575" t="e">
        <f>VLOOKUP(B8575,'REGISTRO ABONOS'!$B$8:$BC$10012,54,0)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9"/>
        <v>105000</v>
      </c>
      <c r="K8576" t="e">
        <f>VLOOKUP(B8576,'REGISTRO ABONOS'!$B$8:$BC$10012,54,0)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9"/>
        <v>105000</v>
      </c>
      <c r="K8577" t="e">
        <f>VLOOKUP(B8577,'REGISTRO ABONOS'!$B$8:$BC$10012,54,0)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9"/>
        <v>105000</v>
      </c>
      <c r="K8578" t="e">
        <f>VLOOKUP(B8578,'REGISTRO ABONOS'!$B$8:$BC$10012,54,0)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9"/>
        <v>105000</v>
      </c>
      <c r="K8579" t="e">
        <f>VLOOKUP(B8579,'REGISTRO ABONOS'!$B$8:$BC$10012,54,0)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9"/>
        <v>105000</v>
      </c>
      <c r="K8580" t="e">
        <f>VLOOKUP(B8580,'REGISTRO ABONOS'!$B$8:$BC$10012,54,0)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9"/>
        <v>105000</v>
      </c>
      <c r="K8581" t="e">
        <f>VLOOKUP(B8581,'REGISTRO ABONOS'!$B$8:$BC$10012,54,0)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9"/>
        <v>105000</v>
      </c>
      <c r="K8582" t="e">
        <f>VLOOKUP(B8582,'REGISTRO ABONOS'!$B$8:$BC$10012,54,0)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9"/>
        <v>105000</v>
      </c>
      <c r="K8583" t="e">
        <f>VLOOKUP(B8583,'REGISTRO ABONOS'!$B$8:$BC$10012,54,0)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9"/>
        <v>105000</v>
      </c>
      <c r="K8584" t="e">
        <f>VLOOKUP(B8584,'REGISTRO ABONOS'!$B$8:$BC$10012,54,0)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9"/>
        <v>105000</v>
      </c>
      <c r="K8585" t="e">
        <f>VLOOKUP(B8585,'REGISTRO ABONOS'!$B$8:$BC$10012,54,0)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9"/>
        <v>105000</v>
      </c>
      <c r="K8586" t="e">
        <f>VLOOKUP(B8586,'REGISTRO ABONOS'!$B$8:$BC$10012,54,0)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9"/>
        <v>105000</v>
      </c>
      <c r="K8587" t="e">
        <f>VLOOKUP(B8587,'REGISTRO ABONOS'!$B$8:$BC$10012,54,0)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9"/>
        <v>105000</v>
      </c>
      <c r="K8588" t="e">
        <f>VLOOKUP(B8588,'REGISTRO ABONOS'!$B$8:$BC$10012,54,0)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9"/>
        <v>105000</v>
      </c>
      <c r="K8589" t="e">
        <f>VLOOKUP(B8589,'REGISTRO ABONOS'!$B$8:$BC$10012,54,0)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9"/>
        <v>105000</v>
      </c>
      <c r="K8590" t="e">
        <f>VLOOKUP(B8590,'REGISTRO ABONOS'!$B$8:$BC$10012,54,0)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9"/>
        <v>105000</v>
      </c>
      <c r="K8591" t="e">
        <f>VLOOKUP(B8591,'REGISTRO ABONOS'!$B$8:$BC$10012,54,0)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9"/>
        <v>105000</v>
      </c>
      <c r="K8592" t="e">
        <f>VLOOKUP(B8592,'REGISTRO ABONOS'!$B$8:$BC$10012,54,0)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9"/>
        <v>105000</v>
      </c>
      <c r="K8593" t="e">
        <f>VLOOKUP(B8593,'REGISTRO ABONOS'!$B$8:$BC$10012,54,0)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9"/>
        <v>105000</v>
      </c>
      <c r="K8594" t="e">
        <f>VLOOKUP(B8594,'REGISTRO ABONOS'!$B$8:$BC$10012,54,0)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9"/>
        <v>105000</v>
      </c>
      <c r="K8595" t="e">
        <f>VLOOKUP(B8595,'REGISTRO ABONOS'!$B$8:$BC$10012,54,0)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9"/>
        <v>105000</v>
      </c>
      <c r="K8596" t="e">
        <f>VLOOKUP(B8596,'REGISTRO ABONOS'!$B$8:$BC$10012,54,0)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J8597">
        <f t="shared" si="139"/>
        <v>105000</v>
      </c>
      <c r="K8597" t="e">
        <f>VLOOKUP(B8597,'REGISTRO ABONOS'!$B$8:$BC$10012,54,0)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9"/>
        <v>105000</v>
      </c>
      <c r="K8598" t="e">
        <f>VLOOKUP(B8598,'REGISTRO ABONOS'!$B$8:$BC$10012,54,0)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9"/>
        <v>105000</v>
      </c>
      <c r="K8599" t="e">
        <f>VLOOKUP(B8599,'REGISTRO ABONOS'!$B$8:$BC$10012,54,0)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9"/>
        <v>105000</v>
      </c>
      <c r="K8600" t="e">
        <f>VLOOKUP(B8600,'REGISTRO ABONOS'!$B$8:$BC$10012,54,0)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9"/>
        <v>105000</v>
      </c>
      <c r="K8601" t="e">
        <f>VLOOKUP(B8601,'REGISTRO ABONOS'!$B$8:$BC$10012,54,0)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9"/>
        <v>105000</v>
      </c>
      <c r="K8602" t="e">
        <f>VLOOKUP(B8602,'REGISTRO ABONOS'!$B$8:$BC$10012,54,0)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9"/>
        <v>105000</v>
      </c>
      <c r="K8603" t="e">
        <f>VLOOKUP(B8603,'REGISTRO ABONOS'!$B$8:$BC$10012,54,0)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9"/>
        <v>105000</v>
      </c>
      <c r="K8604" t="e">
        <f>VLOOKUP(B8604,'REGISTRO ABONOS'!$B$8:$BC$10012,54,0)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9"/>
        <v>105000</v>
      </c>
      <c r="K8605" t="e">
        <f>VLOOKUP(B8605,'REGISTRO ABONOS'!$B$8:$BC$10012,54,0)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9"/>
        <v>105000</v>
      </c>
      <c r="K8606" t="e">
        <f>VLOOKUP(B8606,'REGISTRO ABONOS'!$B$8:$BC$10012,54,0)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9"/>
        <v>105000</v>
      </c>
      <c r="K8607" t="e">
        <f>VLOOKUP(B8607,'REGISTRO ABONOS'!$B$8:$BC$10012,54,0)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9"/>
        <v>105000</v>
      </c>
      <c r="K8608" t="e">
        <f>VLOOKUP(B8608,'REGISTRO ABONOS'!$B$8:$BC$10012,54,0)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9"/>
        <v>105000</v>
      </c>
      <c r="K8609" t="e">
        <f>VLOOKUP(B8609,'REGISTRO ABONOS'!$B$8:$BC$10012,54,0)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9"/>
        <v>105000</v>
      </c>
      <c r="K8610" t="e">
        <f>VLOOKUP(B8610,'REGISTRO ABONOS'!$B$8:$BC$10012,54,0)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9"/>
        <v>105000</v>
      </c>
      <c r="K8611" t="e">
        <f>VLOOKUP(B8611,'REGISTRO ABONOS'!$B$8:$BC$10012,54,0)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9"/>
        <v>105000</v>
      </c>
      <c r="K8612" t="e">
        <f>VLOOKUP(B8612,'REGISTRO ABONOS'!$B$8:$BC$10012,54,0)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9"/>
        <v>105000</v>
      </c>
      <c r="K8613" t="e">
        <f>VLOOKUP(B8613,'REGISTRO ABONOS'!$B$8:$BC$10012,54,0)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9"/>
        <v>105000</v>
      </c>
      <c r="K8614" t="e">
        <f>VLOOKUP(B8614,'REGISTRO ABONOS'!$B$8:$BC$10012,54,0)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9"/>
        <v>105000</v>
      </c>
      <c r="K8615" t="e">
        <f>VLOOKUP(B8615,'REGISTRO ABONOS'!$B$8:$BC$10012,54,0)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9"/>
        <v>105000</v>
      </c>
      <c r="K8616" t="e">
        <f>VLOOKUP(B8616,'REGISTRO ABONOS'!$B$8:$BC$10012,54,0)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9"/>
        <v>105000</v>
      </c>
      <c r="K8617" t="e">
        <f>VLOOKUP(B8617,'REGISTRO ABONOS'!$B$8:$BC$10012,54,0)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si="139"/>
        <v>105000</v>
      </c>
      <c r="K8618" t="e">
        <f>VLOOKUP(B8618,'REGISTRO ABONOS'!$B$8:$BC$10012,54,0)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ABONOS'!$B$8:$BC$10012,54,0)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ABONOS'!$B$8:$BC$10012,54,0)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ABONOS'!$B$8:$BC$10012,54,0)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ABONOS'!$B$8:$BC$10012,54,0)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ABONOS'!$B$8:$BC$10012,54,0)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J8624">
        <f t="shared" ref="J8624:J8687" si="140">IF(C8624&gt;43607,130000,105000)</f>
        <v>105000</v>
      </c>
      <c r="K8624" t="e">
        <f>VLOOKUP(B8624,'REGISTRO ABONOS'!$B$8:$BC$10012,54,0)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40"/>
        <v>105000</v>
      </c>
      <c r="K8625" t="e">
        <f>VLOOKUP(B8625,'REGISTRO ABONOS'!$B$8:$BC$10012,54,0)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40"/>
        <v>105000</v>
      </c>
      <c r="K8626" t="e">
        <f>VLOOKUP(B8626,'REGISTRO ABONOS'!$B$8:$BC$10012,54,0)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40"/>
        <v>105000</v>
      </c>
      <c r="K8627" t="e">
        <f>VLOOKUP(B8627,'REGISTRO ABONOS'!$B$8:$BC$10012,54,0)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40"/>
        <v>105000</v>
      </c>
      <c r="K8628" t="e">
        <f>VLOOKUP(B8628,'REGISTRO ABONOS'!$B$8:$BC$10012,54,0)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40"/>
        <v>105000</v>
      </c>
      <c r="K8629" t="e">
        <f>VLOOKUP(B8629,'REGISTRO ABONOS'!$B$8:$BC$10012,54,0)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40"/>
        <v>105000</v>
      </c>
      <c r="K8630" t="e">
        <f>VLOOKUP(B8630,'REGISTRO ABONOS'!$B$8:$BC$10012,54,0)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40"/>
        <v>105000</v>
      </c>
      <c r="K8631" t="e">
        <f>VLOOKUP(B8631,'REGISTRO ABONOS'!$B$8:$BC$10012,54,0)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40"/>
        <v>105000</v>
      </c>
      <c r="K8632" t="e">
        <f>VLOOKUP(B8632,'REGISTRO ABONOS'!$B$8:$BC$10012,54,0)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40"/>
        <v>105000</v>
      </c>
      <c r="K8633" t="e">
        <f>VLOOKUP(B8633,'REGISTRO ABONOS'!$B$8:$BC$10012,54,0)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40"/>
        <v>105000</v>
      </c>
      <c r="K8634" t="e">
        <f>VLOOKUP(B8634,'REGISTRO ABONOS'!$B$8:$BC$10012,54,0)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40"/>
        <v>105000</v>
      </c>
      <c r="K8635" t="e">
        <f>VLOOKUP(B8635,'REGISTRO ABONOS'!$B$8:$BC$10012,54,0)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40"/>
        <v>105000</v>
      </c>
      <c r="K8636" t="e">
        <f>VLOOKUP(B8636,'REGISTRO ABONOS'!$B$8:$BC$10012,54,0)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40"/>
        <v>105000</v>
      </c>
      <c r="K8637" t="e">
        <f>VLOOKUP(B8637,'REGISTRO ABONOS'!$B$8:$BC$10012,54,0)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40"/>
        <v>105000</v>
      </c>
      <c r="K8638" t="e">
        <f>VLOOKUP(B8638,'REGISTRO ABONOS'!$B$8:$BC$10012,54,0)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40"/>
        <v>105000</v>
      </c>
      <c r="K8639" t="e">
        <f>VLOOKUP(B8639,'REGISTRO ABONOS'!$B$8:$BC$10012,54,0)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40"/>
        <v>105000</v>
      </c>
      <c r="K8640" t="e">
        <f>VLOOKUP(B8640,'REGISTRO ABONOS'!$B$8:$BC$10012,54,0)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40"/>
        <v>105000</v>
      </c>
      <c r="K8641" t="e">
        <f>VLOOKUP(B8641,'REGISTRO ABONOS'!$B$8:$BC$10012,54,0)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40"/>
        <v>105000</v>
      </c>
      <c r="K8642" t="e">
        <f>VLOOKUP(B8642,'REGISTRO ABONOS'!$B$8:$BC$10012,54,0)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40"/>
        <v>105000</v>
      </c>
      <c r="K8643" t="e">
        <f>VLOOKUP(B8643,'REGISTRO ABONOS'!$B$8:$BC$10012,54,0)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40"/>
        <v>105000</v>
      </c>
      <c r="K8644" t="e">
        <f>VLOOKUP(B8644,'REGISTRO ABONOS'!$B$8:$BC$10012,54,0)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40"/>
        <v>105000</v>
      </c>
      <c r="K8645" t="e">
        <f>VLOOKUP(B8645,'REGISTRO ABONOS'!$B$8:$BC$10012,54,0)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40"/>
        <v>105000</v>
      </c>
      <c r="K8646" t="e">
        <f>VLOOKUP(B8646,'REGISTRO ABONOS'!$B$8:$BC$10012,54,0)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40"/>
        <v>105000</v>
      </c>
      <c r="K8647" t="e">
        <f>VLOOKUP(B8647,'REGISTRO ABONOS'!$B$8:$BC$10012,54,0)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40"/>
        <v>105000</v>
      </c>
      <c r="K8648" t="e">
        <f>VLOOKUP(B8648,'REGISTRO ABONOS'!$B$8:$BC$10012,54,0)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40"/>
        <v>105000</v>
      </c>
      <c r="K8649" t="e">
        <f>VLOOKUP(B8649,'REGISTRO ABONOS'!$B$8:$BC$10012,54,0)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40"/>
        <v>105000</v>
      </c>
      <c r="K8650" t="e">
        <f>VLOOKUP(B8650,'REGISTRO ABONOS'!$B$8:$BC$10012,54,0)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40"/>
        <v>105000</v>
      </c>
      <c r="K8651" t="e">
        <f>VLOOKUP(B8651,'REGISTRO ABONOS'!$B$8:$BC$10012,54,0)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40"/>
        <v>105000</v>
      </c>
      <c r="K8652" t="e">
        <f>VLOOKUP(B8652,'REGISTRO ABONOS'!$B$8:$BC$10012,54,0)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40"/>
        <v>105000</v>
      </c>
      <c r="K8653" t="e">
        <f>VLOOKUP(B8653,'REGISTRO ABONOS'!$B$8:$BC$10012,54,0)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40"/>
        <v>105000</v>
      </c>
      <c r="K8654" t="e">
        <f>VLOOKUP(B8654,'REGISTRO ABONOS'!$B$8:$BC$10012,54,0)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40"/>
        <v>105000</v>
      </c>
      <c r="K8655" t="e">
        <f>VLOOKUP(B8655,'REGISTRO ABONOS'!$B$8:$BC$10012,54,0)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40"/>
        <v>105000</v>
      </c>
      <c r="K8656" t="e">
        <f>VLOOKUP(B8656,'REGISTRO ABONOS'!$B$8:$BC$10012,54,0)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40"/>
        <v>105000</v>
      </c>
      <c r="K8657" t="e">
        <f>VLOOKUP(B8657,'REGISTRO ABONOS'!$B$8:$BC$10012,54,0)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>
        <v>8649</v>
      </c>
      <c r="J8658">
        <f t="shared" si="140"/>
        <v>105000</v>
      </c>
      <c r="K8658" t="e">
        <f>VLOOKUP(B8658,'REGISTRO ABONOS'!$B$8:$BC$10012,54,0)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40"/>
        <v>105000</v>
      </c>
      <c r="K8659" t="e">
        <f>VLOOKUP(B8659,'REGISTRO ABONOS'!$B$8:$BC$10012,54,0)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40"/>
        <v>105000</v>
      </c>
      <c r="K8660" t="e">
        <f>VLOOKUP(B8660,'REGISTRO ABONOS'!$B$8:$BC$10012,54,0)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40"/>
        <v>105000</v>
      </c>
      <c r="K8661" t="e">
        <f>VLOOKUP(B8661,'REGISTRO ABONOS'!$B$8:$BC$10012,54,0)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40"/>
        <v>105000</v>
      </c>
      <c r="K8662" t="e">
        <f>VLOOKUP(B8662,'REGISTRO ABONOS'!$B$8:$BC$10012,54,0)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40"/>
        <v>105000</v>
      </c>
      <c r="K8663" t="e">
        <f>VLOOKUP(B8663,'REGISTRO ABONOS'!$B$8:$BC$10012,54,0)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40"/>
        <v>105000</v>
      </c>
      <c r="K8664" t="e">
        <f>VLOOKUP(B8664,'REGISTRO ABONOS'!$B$8:$BC$10012,54,0)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40"/>
        <v>105000</v>
      </c>
      <c r="K8665" t="e">
        <f>VLOOKUP(B8665,'REGISTRO ABONOS'!$B$8:$BC$10012,54,0)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40"/>
        <v>105000</v>
      </c>
      <c r="K8666" t="e">
        <f>VLOOKUP(B8666,'REGISTRO ABONOS'!$B$8:$BC$10012,54,0)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40"/>
        <v>105000</v>
      </c>
      <c r="K8667" t="e">
        <f>VLOOKUP(B8667,'REGISTRO ABONOS'!$B$8:$BC$10012,54,0)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40"/>
        <v>105000</v>
      </c>
      <c r="K8668" t="e">
        <f>VLOOKUP(B8668,'REGISTRO ABONOS'!$B$8:$BC$10012,54,0)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40"/>
        <v>105000</v>
      </c>
      <c r="K8669" t="e">
        <f>VLOOKUP(B8669,'REGISTRO ABONOS'!$B$8:$BC$10012,54,0)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40"/>
        <v>105000</v>
      </c>
      <c r="K8670" t="e">
        <f>VLOOKUP(B8670,'REGISTRO ABONOS'!$B$8:$BC$10012,54,0)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40"/>
        <v>105000</v>
      </c>
      <c r="K8671" t="e">
        <f>VLOOKUP(B8671,'REGISTRO ABONOS'!$B$8:$BC$10012,54,0)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40"/>
        <v>105000</v>
      </c>
      <c r="K8672" t="e">
        <f>VLOOKUP(B8672,'REGISTRO ABONOS'!$B$8:$BC$10012,54,0)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40"/>
        <v>105000</v>
      </c>
      <c r="K8673" t="e">
        <f>VLOOKUP(B8673,'REGISTRO ABONOS'!$B$8:$BC$10012,54,0)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40"/>
        <v>105000</v>
      </c>
      <c r="K8674" t="e">
        <f>VLOOKUP(B8674,'REGISTRO ABONOS'!$B$8:$BC$10012,54,0)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40"/>
        <v>105000</v>
      </c>
      <c r="K8675" t="e">
        <f>VLOOKUP(B8675,'REGISTRO ABONOS'!$B$8:$BC$10012,54,0)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40"/>
        <v>105000</v>
      </c>
      <c r="K8676" t="e">
        <f>VLOOKUP(B8676,'REGISTRO ABONOS'!$B$8:$BC$10012,54,0)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40"/>
        <v>105000</v>
      </c>
      <c r="K8677" t="e">
        <f>VLOOKUP(B8677,'REGISTRO ABONOS'!$B$8:$BC$10012,54,0)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40"/>
        <v>105000</v>
      </c>
      <c r="K8678" t="e">
        <f>VLOOKUP(B8678,'REGISTRO ABONOS'!$B$8:$BC$10012,54,0)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40"/>
        <v>105000</v>
      </c>
      <c r="K8679" t="e">
        <f>VLOOKUP(B8679,'REGISTRO ABONOS'!$B$8:$BC$10012,54,0)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40"/>
        <v>105000</v>
      </c>
      <c r="K8680" t="e">
        <f>VLOOKUP(B8680,'REGISTRO ABONOS'!$B$8:$BC$10012,54,0)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40"/>
        <v>105000</v>
      </c>
      <c r="K8681" t="e">
        <f>VLOOKUP(B8681,'REGISTRO ABONOS'!$B$8:$BC$10012,54,0)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si="140"/>
        <v>105000</v>
      </c>
      <c r="K8682" t="e">
        <f>VLOOKUP(B8682,'REGISTRO ABONOS'!$B$8:$BC$10012,54,0)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ABONOS'!$B$8:$BC$10012,54,0)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ABONOS'!$B$8:$BC$10012,54,0)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ABONOS'!$B$8:$BC$10012,54,0)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ABONOS'!$B$8:$BC$10012,54,0)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ABONOS'!$B$8:$BC$10012,54,0)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ref="J8688:J8751" si="141">IF(C8688&gt;43607,130000,105000)</f>
        <v>105000</v>
      </c>
      <c r="K8688" t="e">
        <f>VLOOKUP(B8688,'REGISTRO ABONOS'!$B$8:$BC$10012,54,0)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1"/>
        <v>105000</v>
      </c>
      <c r="K8689" t="e">
        <f>VLOOKUP(B8689,'REGISTRO ABONOS'!$B$8:$BC$10012,54,0)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1"/>
        <v>105000</v>
      </c>
      <c r="K8690" t="e">
        <f>VLOOKUP(B8690,'REGISTRO ABONOS'!$B$8:$BC$10012,54,0)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1"/>
        <v>105000</v>
      </c>
      <c r="K8691" t="e">
        <f>VLOOKUP(B8691,'REGISTRO ABONOS'!$B$8:$BC$10012,54,0)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1"/>
        <v>105000</v>
      </c>
      <c r="K8692" t="e">
        <f>VLOOKUP(B8692,'REGISTRO ABONOS'!$B$8:$BC$10012,54,0)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1"/>
        <v>105000</v>
      </c>
      <c r="K8693" t="e">
        <f>VLOOKUP(B8693,'REGISTRO ABONOS'!$B$8:$BC$10012,54,0)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1"/>
        <v>105000</v>
      </c>
      <c r="K8694" t="e">
        <f>VLOOKUP(B8694,'REGISTRO ABONOS'!$B$8:$BC$10012,54,0)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1"/>
        <v>105000</v>
      </c>
      <c r="K8695" t="e">
        <f>VLOOKUP(B8695,'REGISTRO ABONOS'!$B$8:$BC$10012,54,0)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1"/>
        <v>105000</v>
      </c>
      <c r="K8696" t="e">
        <f>VLOOKUP(B8696,'REGISTRO ABONOS'!$B$8:$BC$10012,54,0)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1"/>
        <v>105000</v>
      </c>
      <c r="K8697" t="e">
        <f>VLOOKUP(B8697,'REGISTRO ABONOS'!$B$8:$BC$10012,54,0)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1"/>
        <v>105000</v>
      </c>
      <c r="K8698" t="e">
        <f>VLOOKUP(B8698,'REGISTRO ABONOS'!$B$8:$BC$10012,54,0)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1"/>
        <v>105000</v>
      </c>
      <c r="K8699" t="e">
        <f>VLOOKUP(B8699,'REGISTRO ABONOS'!$B$8:$BC$10012,54,0)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1"/>
        <v>105000</v>
      </c>
      <c r="K8700" t="e">
        <f>VLOOKUP(B8700,'REGISTRO ABONOS'!$B$8:$BC$10012,54,0)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1"/>
        <v>105000</v>
      </c>
      <c r="K8701" t="e">
        <f>VLOOKUP(B8701,'REGISTRO ABONOS'!$B$8:$BC$10012,54,0)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1"/>
        <v>105000</v>
      </c>
      <c r="K8702" t="e">
        <f>VLOOKUP(B8702,'REGISTRO ABONOS'!$B$8:$BC$10012,54,0)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1"/>
        <v>105000</v>
      </c>
      <c r="K8703" t="e">
        <f>VLOOKUP(B8703,'REGISTRO ABONOS'!$B$8:$BC$10012,54,0)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1"/>
        <v>105000</v>
      </c>
      <c r="K8704" t="e">
        <f>VLOOKUP(B8704,'REGISTRO ABONOS'!$B$8:$BC$10012,54,0)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1"/>
        <v>105000</v>
      </c>
      <c r="K8705" t="e">
        <f>VLOOKUP(B8705,'REGISTRO ABONOS'!$B$8:$BC$10012,54,0)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1"/>
        <v>105000</v>
      </c>
      <c r="K8706" t="e">
        <f>VLOOKUP(B8706,'REGISTRO ABONOS'!$B$8:$BC$10012,54,0)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1"/>
        <v>105000</v>
      </c>
      <c r="K8707" t="e">
        <f>VLOOKUP(B8707,'REGISTRO ABONOS'!$B$8:$BC$10012,54,0)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1"/>
        <v>105000</v>
      </c>
      <c r="K8708" t="e">
        <f>VLOOKUP(B8708,'REGISTRO ABONOS'!$B$8:$BC$10012,54,0)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1"/>
        <v>105000</v>
      </c>
      <c r="K8709" t="e">
        <f>VLOOKUP(B8709,'REGISTRO ABONOS'!$B$8:$BC$10012,54,0)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J8710">
        <f t="shared" si="141"/>
        <v>105000</v>
      </c>
      <c r="K8710" t="e">
        <f>VLOOKUP(B8710,'REGISTRO ABONOS'!$B$8:$BC$10012,54,0)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1"/>
        <v>105000</v>
      </c>
      <c r="K8711" t="e">
        <f>VLOOKUP(B8711,'REGISTRO ABONOS'!$B$8:$BC$10012,54,0)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1"/>
        <v>105000</v>
      </c>
      <c r="K8712" t="e">
        <f>VLOOKUP(B8712,'REGISTRO ABONOS'!$B$8:$BC$10012,54,0)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1"/>
        <v>105000</v>
      </c>
      <c r="K8713" t="e">
        <f>VLOOKUP(B8713,'REGISTRO ABONOS'!$B$8:$BC$10012,54,0)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1"/>
        <v>105000</v>
      </c>
      <c r="K8714" t="e">
        <f>VLOOKUP(B8714,'REGISTRO ABONOS'!$B$8:$BC$10012,54,0)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1"/>
        <v>105000</v>
      </c>
      <c r="K8715" t="e">
        <f>VLOOKUP(B8715,'REGISTRO ABONOS'!$B$8:$BC$10012,54,0)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1"/>
        <v>105000</v>
      </c>
      <c r="K8716" t="e">
        <f>VLOOKUP(B8716,'REGISTRO ABONOS'!$B$8:$BC$10012,54,0)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1"/>
        <v>105000</v>
      </c>
      <c r="K8717" t="e">
        <f>VLOOKUP(B8717,'REGISTRO ABONOS'!$B$8:$BC$10012,54,0)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1"/>
        <v>105000</v>
      </c>
      <c r="K8718" t="e">
        <f>VLOOKUP(B8718,'REGISTRO ABONOS'!$B$8:$BC$10012,54,0)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1"/>
        <v>105000</v>
      </c>
      <c r="K8719" t="e">
        <f>VLOOKUP(B8719,'REGISTRO ABONOS'!$B$8:$BC$10012,54,0)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J8720">
        <f t="shared" si="141"/>
        <v>105000</v>
      </c>
      <c r="K8720" t="e">
        <f>VLOOKUP(B8720,'REGISTRO ABONOS'!$B$8:$BC$10012,54,0)</f>
        <v>#N/A</v>
      </c>
      <c r="L8720" t="e">
        <f>IF(Tabla26[[#This Row],[VALOR RESTANTE]]&lt;Tabla26[[#This Row],[VALOR]],"NO DISPONIBLE","DISPONIBLE")</f>
        <v>#N/A</v>
      </c>
      <c r="M8720" s="9">
        <f>COUNTIF(Tabla26[[#This Row],[VALOR RESTANTE]],0)</f>
        <v>0</v>
      </c>
    </row>
    <row r="8721" spans="2:13" x14ac:dyDescent="0.2">
      <c r="B8721" s="31">
        <v>8712</v>
      </c>
      <c r="J8721">
        <f t="shared" si="141"/>
        <v>105000</v>
      </c>
      <c r="K8721" t="e">
        <f>VLOOKUP(B8721,'REGISTRO ABONOS'!$B$8:$BC$10012,54,0)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1"/>
        <v>105000</v>
      </c>
      <c r="K8722" t="e">
        <f>VLOOKUP(B8722,'REGISTRO ABONOS'!$B$8:$BC$10012,54,0)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1"/>
        <v>105000</v>
      </c>
      <c r="K8723" t="e">
        <f>VLOOKUP(B8723,'REGISTRO ABONOS'!$B$8:$BC$10012,54,0)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1"/>
        <v>105000</v>
      </c>
      <c r="K8724" t="e">
        <f>VLOOKUP(B8724,'REGISTRO ABONOS'!$B$8:$BC$10012,54,0)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1"/>
        <v>105000</v>
      </c>
      <c r="K8725" t="e">
        <f>VLOOKUP(B8725,'REGISTRO ABONOS'!$B$8:$BC$10012,54,0)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1"/>
        <v>105000</v>
      </c>
      <c r="K8726" t="e">
        <f>VLOOKUP(B8726,'REGISTRO ABONOS'!$B$8:$BC$10012,54,0)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1"/>
        <v>105000</v>
      </c>
      <c r="K8727" t="e">
        <f>VLOOKUP(B8727,'REGISTRO ABONOS'!$B$8:$BC$10012,54,0)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1"/>
        <v>105000</v>
      </c>
      <c r="K8728" t="e">
        <f>VLOOKUP(B8728,'REGISTRO ABONOS'!$B$8:$BC$10012,54,0)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1"/>
        <v>105000</v>
      </c>
      <c r="K8729" t="e">
        <f>VLOOKUP(B8729,'REGISTRO ABONOS'!$B$8:$BC$10012,54,0)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1"/>
        <v>105000</v>
      </c>
      <c r="K8730" t="e">
        <f>VLOOKUP(B8730,'REGISTRO ABONOS'!$B$8:$BC$10012,54,0)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1"/>
        <v>105000</v>
      </c>
      <c r="K8731" t="e">
        <f>VLOOKUP(B8731,'REGISTRO ABONOS'!$B$8:$BC$10012,54,0)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1"/>
        <v>105000</v>
      </c>
      <c r="K8732" t="e">
        <f>VLOOKUP(B8732,'REGISTRO ABONOS'!$B$8:$BC$10012,54,0)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1"/>
        <v>105000</v>
      </c>
      <c r="K8733" t="e">
        <f>VLOOKUP(B8733,'REGISTRO ABONOS'!$B$8:$BC$10012,54,0)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1"/>
        <v>105000</v>
      </c>
      <c r="K8734" t="e">
        <f>VLOOKUP(B8734,'REGISTRO ABONOS'!$B$8:$BC$10012,54,0)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1"/>
        <v>105000</v>
      </c>
      <c r="K8735" t="e">
        <f>VLOOKUP(B8735,'REGISTRO ABONOS'!$B$8:$BC$10012,54,0)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1"/>
        <v>105000</v>
      </c>
      <c r="K8736" t="e">
        <f>VLOOKUP(B8736,'REGISTRO ABONOS'!$B$8:$BC$10012,54,0)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1"/>
        <v>105000</v>
      </c>
      <c r="K8737" t="e">
        <f>VLOOKUP(B8737,'REGISTRO ABONOS'!$B$8:$BC$10012,54,0)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1"/>
        <v>105000</v>
      </c>
      <c r="K8738" t="e">
        <f>VLOOKUP(B8738,'REGISTRO ABONOS'!$B$8:$BC$10012,54,0)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1"/>
        <v>105000</v>
      </c>
      <c r="K8739" t="e">
        <f>VLOOKUP(B8739,'REGISTRO ABONOS'!$B$8:$BC$10012,54,0)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J8740">
        <f t="shared" si="141"/>
        <v>105000</v>
      </c>
      <c r="K8740" t="e">
        <f>VLOOKUP(B8740,'REGISTRO ABONOS'!$B$8:$BC$10012,54,0)</f>
        <v>#N/A</v>
      </c>
      <c r="L8740" t="e">
        <f>IF(Tabla26[[#This Row],[VALOR RESTANTE]]&lt;Tabla26[[#This Row],[VALOR]],"NO DISPONIBLE","DISPONIBLE")</f>
        <v>#N/A</v>
      </c>
      <c r="M8740" s="9">
        <f>COUNTIF(Tabla26[[#This Row],[VALOR RESTANTE]],0)</f>
        <v>0</v>
      </c>
    </row>
    <row r="8741" spans="2:13" x14ac:dyDescent="0.2">
      <c r="B8741" s="31">
        <v>8732</v>
      </c>
      <c r="J8741">
        <f t="shared" si="141"/>
        <v>105000</v>
      </c>
      <c r="K8741" t="e">
        <f>VLOOKUP(B8741,'REGISTRO ABONOS'!$B$8:$BC$10012,54,0)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1"/>
        <v>105000</v>
      </c>
      <c r="K8742" t="e">
        <f>VLOOKUP(B8742,'REGISTRO ABONOS'!$B$8:$BC$10012,54,0)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1"/>
        <v>105000</v>
      </c>
      <c r="K8743" t="e">
        <f>VLOOKUP(B8743,'REGISTRO ABONOS'!$B$8:$BC$10012,54,0)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1"/>
        <v>105000</v>
      </c>
      <c r="K8744" t="e">
        <f>VLOOKUP(B8744,'REGISTRO ABONOS'!$B$8:$BC$10012,54,0)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1"/>
        <v>105000</v>
      </c>
      <c r="K8745" t="e">
        <f>VLOOKUP(B8745,'REGISTRO ABONOS'!$B$8:$BC$10012,54,0)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si="141"/>
        <v>105000</v>
      </c>
      <c r="K8746" t="e">
        <f>VLOOKUP(B8746,'REGISTRO ABONOS'!$B$8:$BC$10012,54,0)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ABONOS'!$B$8:$BC$10012,54,0)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ABONOS'!$B$8:$BC$10012,54,0)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ABONOS'!$B$8:$BC$10012,54,0)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ABONOS'!$B$8:$BC$10012,54,0)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ABONOS'!$B$8:$BC$10012,54,0)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ref="J8752:J8815" si="142">IF(C8752&gt;43607,130000,105000)</f>
        <v>105000</v>
      </c>
      <c r="K8752" t="e">
        <f>VLOOKUP(B8752,'REGISTRO ABONOS'!$B$8:$BC$10012,54,0)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2"/>
        <v>105000</v>
      </c>
      <c r="K8753" t="e">
        <f>VLOOKUP(B8753,'REGISTRO ABONOS'!$B$8:$BC$10012,54,0)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2"/>
        <v>105000</v>
      </c>
      <c r="K8754" t="e">
        <f>VLOOKUP(B8754,'REGISTRO ABONOS'!$B$8:$BC$10012,54,0)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2"/>
        <v>105000</v>
      </c>
      <c r="K8755" t="e">
        <f>VLOOKUP(B8755,'REGISTRO ABONOS'!$B$8:$BC$10012,54,0)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2"/>
        <v>105000</v>
      </c>
      <c r="K8756" t="e">
        <f>VLOOKUP(B8756,'REGISTRO ABONOS'!$B$8:$BC$10012,54,0)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2"/>
        <v>105000</v>
      </c>
      <c r="K8757" t="e">
        <f>VLOOKUP(B8757,'REGISTRO ABONOS'!$B$8:$BC$10012,54,0)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2"/>
        <v>105000</v>
      </c>
      <c r="K8758" t="e">
        <f>VLOOKUP(B8758,'REGISTRO ABONOS'!$B$8:$BC$10012,54,0)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2"/>
        <v>105000</v>
      </c>
      <c r="K8759" t="e">
        <f>VLOOKUP(B8759,'REGISTRO ABONOS'!$B$8:$BC$10012,54,0)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2"/>
        <v>105000</v>
      </c>
      <c r="K8760" t="e">
        <f>VLOOKUP(B8760,'REGISTRO ABONOS'!$B$8:$BC$10012,54,0)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2"/>
        <v>105000</v>
      </c>
      <c r="K8761" t="e">
        <f>VLOOKUP(B8761,'REGISTRO ABONOS'!$B$8:$BC$10012,54,0)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2"/>
        <v>105000</v>
      </c>
      <c r="K8762" t="e">
        <f>VLOOKUP(B8762,'REGISTRO ABONOS'!$B$8:$BC$10012,54,0)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2"/>
        <v>105000</v>
      </c>
      <c r="K8763" t="e">
        <f>VLOOKUP(B8763,'REGISTRO ABONOS'!$B$8:$BC$10012,54,0)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2"/>
        <v>105000</v>
      </c>
      <c r="K8764" t="e">
        <f>VLOOKUP(B8764,'REGISTRO ABONOS'!$B$8:$BC$10012,54,0)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2"/>
        <v>105000</v>
      </c>
      <c r="K8765" t="e">
        <f>VLOOKUP(B8765,'REGISTRO ABONOS'!$B$8:$BC$10012,54,0)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2"/>
        <v>105000</v>
      </c>
      <c r="K8766" t="e">
        <f>VLOOKUP(B8766,'REGISTRO ABONOS'!$B$8:$BC$10012,54,0)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2"/>
        <v>105000</v>
      </c>
      <c r="K8767" t="e">
        <f>VLOOKUP(B8767,'REGISTRO ABONOS'!$B$8:$BC$10012,54,0)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2"/>
        <v>105000</v>
      </c>
      <c r="K8768" t="e">
        <f>VLOOKUP(B8768,'REGISTRO ABONOS'!$B$8:$BC$10012,54,0)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2"/>
        <v>105000</v>
      </c>
      <c r="K8769" t="e">
        <f>VLOOKUP(B8769,'REGISTRO ABONOS'!$B$8:$BC$10012,54,0)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2"/>
        <v>105000</v>
      </c>
      <c r="K8770" t="e">
        <f>VLOOKUP(B8770,'REGISTRO ABONOS'!$B$8:$BC$10012,54,0)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2"/>
        <v>105000</v>
      </c>
      <c r="K8771" t="e">
        <f>VLOOKUP(B8771,'REGISTRO ABONOS'!$B$8:$BC$10012,54,0)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2"/>
        <v>105000</v>
      </c>
      <c r="K8772" t="e">
        <f>VLOOKUP(B8772,'REGISTRO ABONOS'!$B$8:$BC$10012,54,0)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2"/>
        <v>105000</v>
      </c>
      <c r="K8773" t="e">
        <f>VLOOKUP(B8773,'REGISTRO ABONOS'!$B$8:$BC$10012,54,0)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2"/>
        <v>105000</v>
      </c>
      <c r="K8774" t="e">
        <f>VLOOKUP(B8774,'REGISTRO ABONOS'!$B$8:$BC$10012,54,0)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2"/>
        <v>105000</v>
      </c>
      <c r="K8775" t="e">
        <f>VLOOKUP(B8775,'REGISTRO ABONOS'!$B$8:$BC$10012,54,0)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2"/>
        <v>105000</v>
      </c>
      <c r="K8776" t="e">
        <f>VLOOKUP(B8776,'REGISTRO ABONOS'!$B$8:$BC$10012,54,0)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2"/>
        <v>105000</v>
      </c>
      <c r="K8777" t="e">
        <f>VLOOKUP(B8777,'REGISTRO ABONOS'!$B$8:$BC$10012,54,0)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2"/>
        <v>105000</v>
      </c>
      <c r="K8778" t="e">
        <f>VLOOKUP(B8778,'REGISTRO ABONOS'!$B$8:$BC$10012,54,0)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2"/>
        <v>105000</v>
      </c>
      <c r="K8779" t="e">
        <f>VLOOKUP(B8779,'REGISTRO ABONOS'!$B$8:$BC$10012,54,0)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2"/>
        <v>105000</v>
      </c>
      <c r="K8780" t="e">
        <f>VLOOKUP(B8780,'REGISTRO ABONOS'!$B$8:$BC$10012,54,0)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2"/>
        <v>105000</v>
      </c>
      <c r="K8781" t="e">
        <f>VLOOKUP(B8781,'REGISTRO ABONOS'!$B$8:$BC$10012,54,0)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2"/>
        <v>105000</v>
      </c>
      <c r="K8782" t="e">
        <f>VLOOKUP(B8782,'REGISTRO ABONOS'!$B$8:$BC$10012,54,0)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2"/>
        <v>105000</v>
      </c>
      <c r="K8783" t="e">
        <f>VLOOKUP(B8783,'REGISTRO ABONOS'!$B$8:$BC$10012,54,0)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2"/>
        <v>105000</v>
      </c>
      <c r="K8784" t="e">
        <f>VLOOKUP(B8784,'REGISTRO ABONOS'!$B$8:$BC$10012,54,0)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2"/>
        <v>105000</v>
      </c>
      <c r="K8785" t="e">
        <f>VLOOKUP(B8785,'REGISTRO ABONOS'!$B$8:$BC$10012,54,0)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2"/>
        <v>105000</v>
      </c>
      <c r="K8786" t="e">
        <f>VLOOKUP(B8786,'REGISTRO ABONOS'!$B$8:$BC$10012,54,0)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2"/>
        <v>105000</v>
      </c>
      <c r="K8787" t="e">
        <f>VLOOKUP(B8787,'REGISTRO ABONOS'!$B$8:$BC$10012,54,0)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2"/>
        <v>105000</v>
      </c>
      <c r="K8788" t="e">
        <f>VLOOKUP(B8788,'REGISTRO ABONOS'!$B$8:$BC$10012,54,0)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2"/>
        <v>105000</v>
      </c>
      <c r="K8789" t="e">
        <f>VLOOKUP(B8789,'REGISTRO ABONOS'!$B$8:$BC$10012,54,0)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2"/>
        <v>105000</v>
      </c>
      <c r="K8790" t="e">
        <f>VLOOKUP(B8790,'REGISTRO ABONOS'!$B$8:$BC$10012,54,0)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2"/>
        <v>105000</v>
      </c>
      <c r="K8791" t="e">
        <f>VLOOKUP(B8791,'REGISTRO ABONOS'!$B$8:$BC$10012,54,0)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2"/>
        <v>105000</v>
      </c>
      <c r="K8792" t="e">
        <f>VLOOKUP(B8792,'REGISTRO ABONOS'!$B$8:$BC$10012,54,0)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2"/>
        <v>105000</v>
      </c>
      <c r="K8793" t="e">
        <f>VLOOKUP(B8793,'REGISTRO ABONOS'!$B$8:$BC$10012,54,0)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2"/>
        <v>105000</v>
      </c>
      <c r="K8794" t="e">
        <f>VLOOKUP(B8794,'REGISTRO ABONOS'!$B$8:$BC$10012,54,0)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2"/>
        <v>105000</v>
      </c>
      <c r="K8795" t="e">
        <f>VLOOKUP(B8795,'REGISTRO ABONOS'!$B$8:$BC$10012,54,0)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2"/>
        <v>105000</v>
      </c>
      <c r="K8796" t="e">
        <f>VLOOKUP(B8796,'REGISTRO ABONOS'!$B$8:$BC$10012,54,0)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2"/>
        <v>105000</v>
      </c>
      <c r="K8797" t="e">
        <f>VLOOKUP(B8797,'REGISTRO ABONOS'!$B$8:$BC$10012,54,0)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2"/>
        <v>105000</v>
      </c>
      <c r="K8798" t="e">
        <f>VLOOKUP(B8798,'REGISTRO ABONOS'!$B$8:$BC$10012,54,0)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J8799">
        <f t="shared" si="142"/>
        <v>105000</v>
      </c>
      <c r="K8799" t="e">
        <f>VLOOKUP(B8799,'REGISTRO ABONOS'!$B$8:$BC$10012,54,0)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2"/>
        <v>105000</v>
      </c>
      <c r="K8800" t="e">
        <f>VLOOKUP(B8800,'REGISTRO ABONOS'!$B$8:$BC$10012,54,0)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2"/>
        <v>105000</v>
      </c>
      <c r="K8801" t="e">
        <f>VLOOKUP(B8801,'REGISTRO ABONOS'!$B$8:$BC$10012,54,0)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2"/>
        <v>105000</v>
      </c>
      <c r="K8802" t="e">
        <f>VLOOKUP(B8802,'REGISTRO ABONOS'!$B$8:$BC$10012,54,0)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2"/>
        <v>105000</v>
      </c>
      <c r="K8803" t="e">
        <f>VLOOKUP(B8803,'REGISTRO ABONOS'!$B$8:$BC$10012,54,0)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2"/>
        <v>105000</v>
      </c>
      <c r="K8804" t="e">
        <f>VLOOKUP(B8804,'REGISTRO ABONOS'!$B$8:$BC$10012,54,0)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2"/>
        <v>105000</v>
      </c>
      <c r="K8805" t="e">
        <f>VLOOKUP(B8805,'REGISTRO ABONOS'!$B$8:$BC$10012,54,0)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2"/>
        <v>105000</v>
      </c>
      <c r="K8806" t="e">
        <f>VLOOKUP(B8806,'REGISTRO ABONOS'!$B$8:$BC$10012,54,0)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2"/>
        <v>105000</v>
      </c>
      <c r="K8807" t="e">
        <f>VLOOKUP(B8807,'REGISTRO ABONOS'!$B$8:$BC$10012,54,0)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2"/>
        <v>105000</v>
      </c>
      <c r="K8808" t="e">
        <f>VLOOKUP(B8808,'REGISTRO ABONOS'!$B$8:$BC$10012,54,0)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2"/>
        <v>105000</v>
      </c>
      <c r="K8809" t="e">
        <f>VLOOKUP(B8809,'REGISTRO ABONOS'!$B$8:$BC$10012,54,0)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si="142"/>
        <v>105000</v>
      </c>
      <c r="K8810" t="e">
        <f>VLOOKUP(B8810,'REGISTRO ABONOS'!$B$8:$BC$10012,54,0)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ABONOS'!$B$8:$BC$10012,54,0)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ABONOS'!$B$8:$BC$10012,54,0)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ABONOS'!$B$8:$BC$10012,54,0)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ABONOS'!$B$8:$BC$10012,54,0)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ABONOS'!$B$8:$BC$10012,54,0)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ref="J8816:J8879" si="143">IF(C8816&gt;43607,130000,105000)</f>
        <v>105000</v>
      </c>
      <c r="K8816" t="e">
        <f>VLOOKUP(B8816,'REGISTRO ABONOS'!$B$8:$BC$10012,54,0)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3"/>
        <v>105000</v>
      </c>
      <c r="K8817" t="e">
        <f>VLOOKUP(B8817,'REGISTRO ABONOS'!$B$8:$BC$10012,54,0)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3"/>
        <v>105000</v>
      </c>
      <c r="K8818" t="e">
        <f>VLOOKUP(B8818,'REGISTRO ABONOS'!$B$8:$BC$10012,54,0)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3"/>
        <v>105000</v>
      </c>
      <c r="K8819" t="e">
        <f>VLOOKUP(B8819,'REGISTRO ABONOS'!$B$8:$BC$10012,54,0)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3"/>
        <v>105000</v>
      </c>
      <c r="K8820" t="e">
        <f>VLOOKUP(B8820,'REGISTRO ABONOS'!$B$8:$BC$10012,54,0)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3"/>
        <v>105000</v>
      </c>
      <c r="K8821" t="e">
        <f>VLOOKUP(B8821,'REGISTRO ABONOS'!$B$8:$BC$10012,54,0)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3"/>
        <v>105000</v>
      </c>
      <c r="K8822" t="e">
        <f>VLOOKUP(B8822,'REGISTRO ABONOS'!$B$8:$BC$10012,54,0)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3"/>
        <v>105000</v>
      </c>
      <c r="K8823" t="e">
        <f>VLOOKUP(B8823,'REGISTRO ABONOS'!$B$8:$BC$10012,54,0)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3"/>
        <v>105000</v>
      </c>
      <c r="K8824" t="e">
        <f>VLOOKUP(B8824,'REGISTRO ABONOS'!$B$8:$BC$10012,54,0)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3"/>
        <v>105000</v>
      </c>
      <c r="K8825" t="e">
        <f>VLOOKUP(B8825,'REGISTRO ABONOS'!$B$8:$BC$10012,54,0)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3"/>
        <v>105000</v>
      </c>
      <c r="K8826" t="e">
        <f>VLOOKUP(B8826,'REGISTRO ABONOS'!$B$8:$BC$10012,54,0)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3"/>
        <v>105000</v>
      </c>
      <c r="K8827" t="e">
        <f>VLOOKUP(B8827,'REGISTRO ABONOS'!$B$8:$BC$10012,54,0)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3"/>
        <v>105000</v>
      </c>
      <c r="K8828" t="e">
        <f>VLOOKUP(B8828,'REGISTRO ABONOS'!$B$8:$BC$10012,54,0)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3"/>
        <v>105000</v>
      </c>
      <c r="K8829" t="e">
        <f>VLOOKUP(B8829,'REGISTRO ABONOS'!$B$8:$BC$10012,54,0)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3"/>
        <v>105000</v>
      </c>
      <c r="K8830" t="e">
        <f>VLOOKUP(B8830,'REGISTRO ABONOS'!$B$8:$BC$10012,54,0)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3"/>
        <v>105000</v>
      </c>
      <c r="K8831" t="e">
        <f>VLOOKUP(B8831,'REGISTRO ABONOS'!$B$8:$BC$10012,54,0)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3"/>
        <v>105000</v>
      </c>
      <c r="K8832" t="e">
        <f>VLOOKUP(B8832,'REGISTRO ABONOS'!$B$8:$BC$10012,54,0)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3"/>
        <v>105000</v>
      </c>
      <c r="K8833" t="e">
        <f>VLOOKUP(B8833,'REGISTRO ABONOS'!$B$8:$BC$10012,54,0)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3"/>
        <v>105000</v>
      </c>
      <c r="K8834" t="e">
        <f>VLOOKUP(B8834,'REGISTRO ABONOS'!$B$8:$BC$10012,54,0)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3"/>
        <v>105000</v>
      </c>
      <c r="K8835" t="e">
        <f>VLOOKUP(B8835,'REGISTRO ABONOS'!$B$8:$BC$10012,54,0)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3"/>
        <v>105000</v>
      </c>
      <c r="K8836" t="e">
        <f>VLOOKUP(B8836,'REGISTRO ABONOS'!$B$8:$BC$10012,54,0)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3"/>
        <v>105000</v>
      </c>
      <c r="K8837" t="e">
        <f>VLOOKUP(B8837,'REGISTRO ABONOS'!$B$8:$BC$10012,54,0)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3"/>
        <v>105000</v>
      </c>
      <c r="K8838" t="e">
        <f>VLOOKUP(B8838,'REGISTRO ABONOS'!$B$8:$BC$10012,54,0)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3"/>
        <v>105000</v>
      </c>
      <c r="K8839" t="e">
        <f>VLOOKUP(B8839,'REGISTRO ABONOS'!$B$8:$BC$10012,54,0)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3"/>
        <v>105000</v>
      </c>
      <c r="K8840" t="e">
        <f>VLOOKUP(B8840,'REGISTRO ABONOS'!$B$8:$BC$10012,54,0)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3"/>
        <v>105000</v>
      </c>
      <c r="K8841" t="e">
        <f>VLOOKUP(B8841,'REGISTRO ABONOS'!$B$8:$BC$10012,54,0)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3"/>
        <v>105000</v>
      </c>
      <c r="K8842" t="e">
        <f>VLOOKUP(B8842,'REGISTRO ABONOS'!$B$8:$BC$10012,54,0)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3"/>
        <v>105000</v>
      </c>
      <c r="K8843" t="e">
        <f>VLOOKUP(B8843,'REGISTRO ABONOS'!$B$8:$BC$10012,54,0)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3"/>
        <v>105000</v>
      </c>
      <c r="K8844" t="e">
        <f>VLOOKUP(B8844,'REGISTRO ABONOS'!$B$8:$BC$10012,54,0)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3"/>
        <v>105000</v>
      </c>
      <c r="K8845" t="e">
        <f>VLOOKUP(B8845,'REGISTRO ABONOS'!$B$8:$BC$10012,54,0)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3"/>
        <v>105000</v>
      </c>
      <c r="K8846" t="e">
        <f>VLOOKUP(B8846,'REGISTRO ABONOS'!$B$8:$BC$10012,54,0)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3"/>
        <v>105000</v>
      </c>
      <c r="K8847" t="e">
        <f>VLOOKUP(B8847,'REGISTRO ABONOS'!$B$8:$BC$10012,54,0)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3"/>
        <v>105000</v>
      </c>
      <c r="K8848" t="e">
        <f>VLOOKUP(B8848,'REGISTRO ABONOS'!$B$8:$BC$10012,54,0)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3"/>
        <v>105000</v>
      </c>
      <c r="K8849" t="e">
        <f>VLOOKUP(B8849,'REGISTRO ABONOS'!$B$8:$BC$10012,54,0)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3"/>
        <v>105000</v>
      </c>
      <c r="K8850" t="e">
        <f>VLOOKUP(B8850,'REGISTRO ABONOS'!$B$8:$BC$10012,54,0)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3"/>
        <v>105000</v>
      </c>
      <c r="K8851" t="e">
        <f>VLOOKUP(B8851,'REGISTRO ABONOS'!$B$8:$BC$10012,54,0)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3"/>
        <v>105000</v>
      </c>
      <c r="K8852" t="e">
        <f>VLOOKUP(B8852,'REGISTRO ABONOS'!$B$8:$BC$10012,54,0)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3"/>
        <v>105000</v>
      </c>
      <c r="K8853" t="e">
        <f>VLOOKUP(B8853,'REGISTRO ABONOS'!$B$8:$BC$10012,54,0)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3"/>
        <v>105000</v>
      </c>
      <c r="K8854" t="e">
        <f>VLOOKUP(B8854,'REGISTRO ABONOS'!$B$8:$BC$10012,54,0)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3"/>
        <v>105000</v>
      </c>
      <c r="K8855" t="e">
        <f>VLOOKUP(B8855,'REGISTRO ABONOS'!$B$8:$BC$10012,54,0)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3"/>
        <v>105000</v>
      </c>
      <c r="K8856" t="e">
        <f>VLOOKUP(B8856,'REGISTRO ABONOS'!$B$8:$BC$10012,54,0)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3"/>
        <v>105000</v>
      </c>
      <c r="K8857" t="e">
        <f>VLOOKUP(B8857,'REGISTRO ABONOS'!$B$8:$BC$10012,54,0)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3"/>
        <v>105000</v>
      </c>
      <c r="K8858" t="e">
        <f>VLOOKUP(B8858,'REGISTRO ABONOS'!$B$8:$BC$10012,54,0)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3"/>
        <v>105000</v>
      </c>
      <c r="K8859" t="e">
        <f>VLOOKUP(B8859,'REGISTRO ABONOS'!$B$8:$BC$10012,54,0)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3"/>
        <v>105000</v>
      </c>
      <c r="K8860" t="e">
        <f>VLOOKUP(B8860,'REGISTRO ABONOS'!$B$8:$BC$10012,54,0)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3"/>
        <v>105000</v>
      </c>
      <c r="K8861" t="e">
        <f>VLOOKUP(B8861,'REGISTRO ABONOS'!$B$8:$BC$10012,54,0)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3"/>
        <v>105000</v>
      </c>
      <c r="K8862" t="e">
        <f>VLOOKUP(B8862,'REGISTRO ABONOS'!$B$8:$BC$10012,54,0)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3"/>
        <v>105000</v>
      </c>
      <c r="K8863" t="e">
        <f>VLOOKUP(B8863,'REGISTRO ABONOS'!$B$8:$BC$10012,54,0)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3"/>
        <v>105000</v>
      </c>
      <c r="K8864" t="e">
        <f>VLOOKUP(B8864,'REGISTRO ABONOS'!$B$8:$BC$10012,54,0)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3"/>
        <v>105000</v>
      </c>
      <c r="K8865" t="e">
        <f>VLOOKUP(B8865,'REGISTRO ABONOS'!$B$8:$BC$10012,54,0)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3"/>
        <v>105000</v>
      </c>
      <c r="K8866" t="e">
        <f>VLOOKUP(B8866,'REGISTRO ABONOS'!$B$8:$BC$10012,54,0)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3"/>
        <v>105000</v>
      </c>
      <c r="K8867" t="e">
        <f>VLOOKUP(B8867,'REGISTRO ABONOS'!$B$8:$BC$10012,54,0)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3"/>
        <v>105000</v>
      </c>
      <c r="K8868" t="e">
        <f>VLOOKUP(B8868,'REGISTRO ABONOS'!$B$8:$BC$10012,54,0)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3"/>
        <v>105000</v>
      </c>
      <c r="K8869" t="e">
        <f>VLOOKUP(B8869,'REGISTRO ABONOS'!$B$8:$BC$10012,54,0)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3"/>
        <v>105000</v>
      </c>
      <c r="K8870" t="e">
        <f>VLOOKUP(B8870,'REGISTRO ABONOS'!$B$8:$BC$10012,54,0)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3"/>
        <v>105000</v>
      </c>
      <c r="K8871" t="e">
        <f>VLOOKUP(B8871,'REGISTRO ABONOS'!$B$8:$BC$10012,54,0)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3"/>
        <v>105000</v>
      </c>
      <c r="K8872" t="e">
        <f>VLOOKUP(B8872,'REGISTRO ABONOS'!$B$8:$BC$10012,54,0)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3"/>
        <v>105000</v>
      </c>
      <c r="K8873" t="e">
        <f>VLOOKUP(B8873,'REGISTRO ABONOS'!$B$8:$BC$10012,54,0)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J8874">
        <f t="shared" si="143"/>
        <v>105000</v>
      </c>
      <c r="K8874" t="e">
        <f>VLOOKUP(B8874,'REGISTRO ABONOS'!$B$8:$BC$10012,54,0)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ABONOS'!$B$8:$BC$10012,54,0)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ABONOS'!$B$8:$BC$10012,54,0)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ABONOS'!$B$8:$BC$10012,54,0)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ABONOS'!$B$8:$BC$10012,54,0)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ABONOS'!$B$8:$BC$10012,54,0)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ref="J8880:J8943" si="144">IF(C8880&gt;43607,130000,105000)</f>
        <v>105000</v>
      </c>
      <c r="K8880" t="e">
        <f>VLOOKUP(B8880,'REGISTRO ABONOS'!$B$8:$BC$10012,54,0)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4"/>
        <v>105000</v>
      </c>
      <c r="K8881" t="e">
        <f>VLOOKUP(B8881,'REGISTRO ABONOS'!$B$8:$BC$10012,54,0)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4"/>
        <v>105000</v>
      </c>
      <c r="K8882" t="e">
        <f>VLOOKUP(B8882,'REGISTRO ABONOS'!$B$8:$BC$10012,54,0)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4"/>
        <v>105000</v>
      </c>
      <c r="K8883" t="e">
        <f>VLOOKUP(B8883,'REGISTRO ABONOS'!$B$8:$BC$10012,54,0)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4"/>
        <v>105000</v>
      </c>
      <c r="K8884" t="e">
        <f>VLOOKUP(B8884,'REGISTRO ABONOS'!$B$8:$BC$10012,54,0)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4"/>
        <v>105000</v>
      </c>
      <c r="K8885" t="e">
        <f>VLOOKUP(B8885,'REGISTRO ABONOS'!$B$8:$BC$10012,54,0)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4"/>
        <v>105000</v>
      </c>
      <c r="K8886" t="e">
        <f>VLOOKUP(B8886,'REGISTRO ABONOS'!$B$8:$BC$10012,54,0)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4"/>
        <v>105000</v>
      </c>
      <c r="K8887" t="e">
        <f>VLOOKUP(B8887,'REGISTRO ABONOS'!$B$8:$BC$10012,54,0)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J8888">
        <f t="shared" si="144"/>
        <v>105000</v>
      </c>
      <c r="K8888" t="e">
        <f>VLOOKUP(B8888,'REGISTRO ABONOS'!$B$8:$BC$10012,54,0)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4"/>
        <v>105000</v>
      </c>
      <c r="K8889" t="e">
        <f>VLOOKUP(B8889,'REGISTRO ABONOS'!$B$8:$BC$10012,54,0)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4"/>
        <v>105000</v>
      </c>
      <c r="K8890" t="e">
        <f>VLOOKUP(B8890,'REGISTRO ABONOS'!$B$8:$BC$10012,54,0)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4"/>
        <v>105000</v>
      </c>
      <c r="K8891" t="e">
        <f>VLOOKUP(B8891,'REGISTRO ABONOS'!$B$8:$BC$10012,54,0)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4"/>
        <v>105000</v>
      </c>
      <c r="K8892" t="e">
        <f>VLOOKUP(B8892,'REGISTRO ABONOS'!$B$8:$BC$10012,54,0)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4"/>
        <v>105000</v>
      </c>
      <c r="K8893" t="e">
        <f>VLOOKUP(B8893,'REGISTRO ABONOS'!$B$8:$BC$10012,54,0)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4"/>
        <v>105000</v>
      </c>
      <c r="K8894" t="e">
        <f>VLOOKUP(B8894,'REGISTRO ABONOS'!$B$8:$BC$10012,54,0)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4"/>
        <v>105000</v>
      </c>
      <c r="K8895" t="e">
        <f>VLOOKUP(B8895,'REGISTRO ABONOS'!$B$8:$BC$10012,54,0)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4"/>
        <v>105000</v>
      </c>
      <c r="K8896" t="e">
        <f>VLOOKUP(B8896,'REGISTRO ABONOS'!$B$8:$BC$10012,54,0)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4"/>
        <v>105000</v>
      </c>
      <c r="K8897" t="e">
        <f>VLOOKUP(B8897,'REGISTRO ABONOS'!$B$8:$BC$10012,54,0)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4"/>
        <v>105000</v>
      </c>
      <c r="K8898" t="e">
        <f>VLOOKUP(B8898,'REGISTRO ABONOS'!$B$8:$BC$10012,54,0)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4"/>
        <v>105000</v>
      </c>
      <c r="K8899" t="e">
        <f>VLOOKUP(B8899,'REGISTRO ABONOS'!$B$8:$BC$10012,54,0)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4"/>
        <v>105000</v>
      </c>
      <c r="K8900" t="e">
        <f>VLOOKUP(B8900,'REGISTRO ABONOS'!$B$8:$BC$10012,54,0)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4"/>
        <v>105000</v>
      </c>
      <c r="K8901" t="e">
        <f>VLOOKUP(B8901,'REGISTRO ABONOS'!$B$8:$BC$10012,54,0)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4"/>
        <v>105000</v>
      </c>
      <c r="K8902" t="e">
        <f>VLOOKUP(B8902,'REGISTRO ABONOS'!$B$8:$BC$10012,54,0)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4"/>
        <v>105000</v>
      </c>
      <c r="K8903" t="e">
        <f>VLOOKUP(B8903,'REGISTRO ABONOS'!$B$8:$BC$10012,54,0)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4"/>
        <v>105000</v>
      </c>
      <c r="K8904" t="e">
        <f>VLOOKUP(B8904,'REGISTRO ABONOS'!$B$8:$BC$10012,54,0)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4"/>
        <v>105000</v>
      </c>
      <c r="K8905" t="e">
        <f>VLOOKUP(B8905,'REGISTRO ABONOS'!$B$8:$BC$10012,54,0)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4"/>
        <v>105000</v>
      </c>
      <c r="K8906" t="e">
        <f>VLOOKUP(B8906,'REGISTRO ABONOS'!$B$8:$BC$10012,54,0)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4"/>
        <v>105000</v>
      </c>
      <c r="K8907" t="e">
        <f>VLOOKUP(B8907,'REGISTRO ABONOS'!$B$8:$BC$10012,54,0)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4"/>
        <v>105000</v>
      </c>
      <c r="K8908" t="e">
        <f>VLOOKUP(B8908,'REGISTRO ABONOS'!$B$8:$BC$10012,54,0)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4"/>
        <v>105000</v>
      </c>
      <c r="K8909" t="e">
        <f>VLOOKUP(B8909,'REGISTRO ABONOS'!$B$8:$BC$10012,54,0)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4"/>
        <v>105000</v>
      </c>
      <c r="K8910" t="e">
        <f>VLOOKUP(B8910,'REGISTRO ABONOS'!$B$8:$BC$10012,54,0)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4"/>
        <v>105000</v>
      </c>
      <c r="K8911" t="e">
        <f>VLOOKUP(B8911,'REGISTRO ABONOS'!$B$8:$BC$10012,54,0)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4"/>
        <v>105000</v>
      </c>
      <c r="K8912" t="e">
        <f>VLOOKUP(B8912,'REGISTRO ABONOS'!$B$8:$BC$10012,54,0)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4"/>
        <v>105000</v>
      </c>
      <c r="K8913" t="e">
        <f>VLOOKUP(B8913,'REGISTRO ABONOS'!$B$8:$BC$10012,54,0)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4"/>
        <v>105000</v>
      </c>
      <c r="K8914" t="e">
        <f>VLOOKUP(B8914,'REGISTRO ABONOS'!$B$8:$BC$10012,54,0)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4"/>
        <v>105000</v>
      </c>
      <c r="K8915" t="e">
        <f>VLOOKUP(B8915,'REGISTRO ABONOS'!$B$8:$BC$10012,54,0)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4"/>
        <v>105000</v>
      </c>
      <c r="K8916" t="e">
        <f>VLOOKUP(B8916,'REGISTRO ABONOS'!$B$8:$BC$10012,54,0)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4"/>
        <v>105000</v>
      </c>
      <c r="K8917" t="e">
        <f>VLOOKUP(B8917,'REGISTRO ABONOS'!$B$8:$BC$10012,54,0)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4"/>
        <v>105000</v>
      </c>
      <c r="K8918" t="e">
        <f>VLOOKUP(B8918,'REGISTRO ABONOS'!$B$8:$BC$10012,54,0)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4"/>
        <v>105000</v>
      </c>
      <c r="K8919" t="e">
        <f>VLOOKUP(B8919,'REGISTRO ABONOS'!$B$8:$BC$10012,54,0)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4"/>
        <v>105000</v>
      </c>
      <c r="K8920" t="e">
        <f>VLOOKUP(B8920,'REGISTRO ABONOS'!$B$8:$BC$10012,54,0)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4"/>
        <v>105000</v>
      </c>
      <c r="K8921" t="e">
        <f>VLOOKUP(B8921,'REGISTRO ABONOS'!$B$8:$BC$10012,54,0)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4"/>
        <v>105000</v>
      </c>
      <c r="K8922" t="e">
        <f>VLOOKUP(B8922,'REGISTRO ABONOS'!$B$8:$BC$10012,54,0)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4"/>
        <v>105000</v>
      </c>
      <c r="K8923" t="e">
        <f>VLOOKUP(B8923,'REGISTRO ABONOS'!$B$8:$BC$10012,54,0)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4"/>
        <v>105000</v>
      </c>
      <c r="K8924" t="e">
        <f>VLOOKUP(B8924,'REGISTRO ABONOS'!$B$8:$BC$10012,54,0)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4"/>
        <v>105000</v>
      </c>
      <c r="K8925" t="e">
        <f>VLOOKUP(B8925,'REGISTRO ABONOS'!$B$8:$BC$10012,54,0)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4"/>
        <v>105000</v>
      </c>
      <c r="K8926" t="e">
        <f>VLOOKUP(B8926,'REGISTRO ABONOS'!$B$8:$BC$10012,54,0)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4"/>
        <v>105000</v>
      </c>
      <c r="K8927" t="e">
        <f>VLOOKUP(B8927,'REGISTRO ABONOS'!$B$8:$BC$10012,54,0)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4"/>
        <v>105000</v>
      </c>
      <c r="K8928" t="e">
        <f>VLOOKUP(B8928,'REGISTRO ABONOS'!$B$8:$BC$10012,54,0)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4"/>
        <v>105000</v>
      </c>
      <c r="K8929" t="e">
        <f>VLOOKUP(B8929,'REGISTRO ABONOS'!$B$8:$BC$10012,54,0)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4"/>
        <v>105000</v>
      </c>
      <c r="K8930" t="e">
        <f>VLOOKUP(B8930,'REGISTRO ABONOS'!$B$8:$BC$10012,54,0)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4"/>
        <v>105000</v>
      </c>
      <c r="K8931" t="e">
        <f>VLOOKUP(B8931,'REGISTRO ABONOS'!$B$8:$BC$10012,54,0)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4"/>
        <v>105000</v>
      </c>
      <c r="K8932" t="e">
        <f>VLOOKUP(B8932,'REGISTRO ABONOS'!$B$8:$BC$10012,54,0)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4"/>
        <v>105000</v>
      </c>
      <c r="K8933" t="e">
        <f>VLOOKUP(B8933,'REGISTRO ABONOS'!$B$8:$BC$10012,54,0)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4"/>
        <v>105000</v>
      </c>
      <c r="K8934" t="e">
        <f>VLOOKUP(B8934,'REGISTRO ABONOS'!$B$8:$BC$10012,54,0)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4"/>
        <v>105000</v>
      </c>
      <c r="K8935" t="e">
        <f>VLOOKUP(B8935,'REGISTRO ABONOS'!$B$8:$BC$10012,54,0)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4"/>
        <v>105000</v>
      </c>
      <c r="K8936" t="e">
        <f>VLOOKUP(B8936,'REGISTRO ABONOS'!$B$8:$BC$10012,54,0)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4"/>
        <v>105000</v>
      </c>
      <c r="K8937" t="e">
        <f>VLOOKUP(B8937,'REGISTRO ABONOS'!$B$8:$BC$10012,54,0)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si="144"/>
        <v>105000</v>
      </c>
      <c r="K8938" t="e">
        <f>VLOOKUP(B8938,'REGISTRO ABONOS'!$B$8:$BC$10012,54,0)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ABONOS'!$B$8:$BC$10012,54,0)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ABONOS'!$B$8:$BC$10012,54,0)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ABONOS'!$B$8:$BC$10012,54,0)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ABONOS'!$B$8:$BC$10012,54,0)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ABONOS'!$B$8:$BC$10012,54,0)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ref="J8944:J9007" si="145">IF(C8944&gt;43607,130000,105000)</f>
        <v>105000</v>
      </c>
      <c r="K8944" t="e">
        <f>VLOOKUP(B8944,'REGISTRO ABONOS'!$B$8:$BC$10012,54,0)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5"/>
        <v>105000</v>
      </c>
      <c r="K8945" t="e">
        <f>VLOOKUP(B8945,'REGISTRO ABONOS'!$B$8:$BC$10012,54,0)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5"/>
        <v>105000</v>
      </c>
      <c r="K8946" t="e">
        <f>VLOOKUP(B8946,'REGISTRO ABONOS'!$B$8:$BC$10012,54,0)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5"/>
        <v>105000</v>
      </c>
      <c r="K8947" t="e">
        <f>VLOOKUP(B8947,'REGISTRO ABONOS'!$B$8:$BC$10012,54,0)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5"/>
        <v>105000</v>
      </c>
      <c r="K8948" t="e">
        <f>VLOOKUP(B8948,'REGISTRO ABONOS'!$B$8:$BC$10012,54,0)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5"/>
        <v>105000</v>
      </c>
      <c r="K8949" t="e">
        <f>VLOOKUP(B8949,'REGISTRO ABONOS'!$B$8:$BC$10012,54,0)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5"/>
        <v>105000</v>
      </c>
      <c r="K8950" t="e">
        <f>VLOOKUP(B8950,'REGISTRO ABONOS'!$B$8:$BC$10012,54,0)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5"/>
        <v>105000</v>
      </c>
      <c r="K8951" t="e">
        <f>VLOOKUP(B8951,'REGISTRO ABONOS'!$B$8:$BC$10012,54,0)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5"/>
        <v>105000</v>
      </c>
      <c r="K8952" t="e">
        <f>VLOOKUP(B8952,'REGISTRO ABONOS'!$B$8:$BC$10012,54,0)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5"/>
        <v>105000</v>
      </c>
      <c r="K8953" t="e">
        <f>VLOOKUP(B8953,'REGISTRO ABONOS'!$B$8:$BC$10012,54,0)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5"/>
        <v>105000</v>
      </c>
      <c r="K8954" t="e">
        <f>VLOOKUP(B8954,'REGISTRO ABONOS'!$B$8:$BC$10012,54,0)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5"/>
        <v>105000</v>
      </c>
      <c r="K8955" t="e">
        <f>VLOOKUP(B8955,'REGISTRO ABONOS'!$B$8:$BC$10012,54,0)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5"/>
        <v>105000</v>
      </c>
      <c r="K8956" t="e">
        <f>VLOOKUP(B8956,'REGISTRO ABONOS'!$B$8:$BC$10012,54,0)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5"/>
        <v>105000</v>
      </c>
      <c r="K8957" t="e">
        <f>VLOOKUP(B8957,'REGISTRO ABONOS'!$B$8:$BC$10012,54,0)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5"/>
        <v>105000</v>
      </c>
      <c r="K8958" t="e">
        <f>VLOOKUP(B8958,'REGISTRO ABONOS'!$B$8:$BC$10012,54,0)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5"/>
        <v>105000</v>
      </c>
      <c r="K8959" t="e">
        <f>VLOOKUP(B8959,'REGISTRO ABONOS'!$B$8:$BC$10012,54,0)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5"/>
        <v>105000</v>
      </c>
      <c r="K8960" t="e">
        <f>VLOOKUP(B8960,'REGISTRO ABONOS'!$B$8:$BC$10012,54,0)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5"/>
        <v>105000</v>
      </c>
      <c r="K8961" t="e">
        <f>VLOOKUP(B8961,'REGISTRO ABONOS'!$B$8:$BC$10012,54,0)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5"/>
        <v>105000</v>
      </c>
      <c r="K8962" t="e">
        <f>VLOOKUP(B8962,'REGISTRO ABONOS'!$B$8:$BC$10012,54,0)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5"/>
        <v>105000</v>
      </c>
      <c r="K8963" t="e">
        <f>VLOOKUP(B8963,'REGISTRO ABONOS'!$B$8:$BC$10012,54,0)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5"/>
        <v>105000</v>
      </c>
      <c r="K8964" t="e">
        <f>VLOOKUP(B8964,'REGISTRO ABONOS'!$B$8:$BC$10012,54,0)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5"/>
        <v>105000</v>
      </c>
      <c r="K8965" t="e">
        <f>VLOOKUP(B8965,'REGISTRO ABONOS'!$B$8:$BC$10012,54,0)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5"/>
        <v>105000</v>
      </c>
      <c r="K8966" t="e">
        <f>VLOOKUP(B8966,'REGISTRO ABONOS'!$B$8:$BC$10012,54,0)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5"/>
        <v>105000</v>
      </c>
      <c r="K8967" t="e">
        <f>VLOOKUP(B8967,'REGISTRO ABONOS'!$B$8:$BC$10012,54,0)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5"/>
        <v>105000</v>
      </c>
      <c r="K8968" t="e">
        <f>VLOOKUP(B8968,'REGISTRO ABONOS'!$B$8:$BC$10012,54,0)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5"/>
        <v>105000</v>
      </c>
      <c r="K8969" t="e">
        <f>VLOOKUP(B8969,'REGISTRO ABONOS'!$B$8:$BC$10012,54,0)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5"/>
        <v>105000</v>
      </c>
      <c r="K8970" t="e">
        <f>VLOOKUP(B8970,'REGISTRO ABONOS'!$B$8:$BC$10012,54,0)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5"/>
        <v>105000</v>
      </c>
      <c r="K8971" t="e">
        <f>VLOOKUP(B8971,'REGISTRO ABONOS'!$B$8:$BC$10012,54,0)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5"/>
        <v>105000</v>
      </c>
      <c r="K8972" t="e">
        <f>VLOOKUP(B8972,'REGISTRO ABONOS'!$B$8:$BC$10012,54,0)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5"/>
        <v>105000</v>
      </c>
      <c r="K8973" t="e">
        <f>VLOOKUP(B8973,'REGISTRO ABONOS'!$B$8:$BC$10012,54,0)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5"/>
        <v>105000</v>
      </c>
      <c r="K8974" t="e">
        <f>VLOOKUP(B8974,'REGISTRO ABONOS'!$B$8:$BC$10012,54,0)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5"/>
        <v>105000</v>
      </c>
      <c r="K8975" t="e">
        <f>VLOOKUP(B8975,'REGISTRO ABONOS'!$B$8:$BC$10012,54,0)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5"/>
        <v>105000</v>
      </c>
      <c r="K8976" t="e">
        <f>VLOOKUP(B8976,'REGISTRO ABONOS'!$B$8:$BC$10012,54,0)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5"/>
        <v>105000</v>
      </c>
      <c r="K8977" t="e">
        <f>VLOOKUP(B8977,'REGISTRO ABONOS'!$B$8:$BC$10012,54,0)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5"/>
        <v>105000</v>
      </c>
      <c r="K8978" t="e">
        <f>VLOOKUP(B8978,'REGISTRO ABONOS'!$B$8:$BC$10012,54,0)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5"/>
        <v>105000</v>
      </c>
      <c r="K8979" t="e">
        <f>VLOOKUP(B8979,'REGISTRO ABONOS'!$B$8:$BC$10012,54,0)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5"/>
        <v>105000</v>
      </c>
      <c r="K8980" t="e">
        <f>VLOOKUP(B8980,'REGISTRO ABONOS'!$B$8:$BC$10012,54,0)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5"/>
        <v>105000</v>
      </c>
      <c r="K8981" t="e">
        <f>VLOOKUP(B8981,'REGISTRO ABONOS'!$B$8:$BC$10012,54,0)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5"/>
        <v>105000</v>
      </c>
      <c r="K8982" t="e">
        <f>VLOOKUP(B8982,'REGISTRO ABONOS'!$B$8:$BC$10012,54,0)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5"/>
        <v>105000</v>
      </c>
      <c r="K8983" t="e">
        <f>VLOOKUP(B8983,'REGISTRO ABONOS'!$B$8:$BC$10012,54,0)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5"/>
        <v>105000</v>
      </c>
      <c r="K8984" t="e">
        <f>VLOOKUP(B8984,'REGISTRO ABONOS'!$B$8:$BC$10012,54,0)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5"/>
        <v>105000</v>
      </c>
      <c r="K8985" t="e">
        <f>VLOOKUP(B8985,'REGISTRO ABONOS'!$B$8:$BC$10012,54,0)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5"/>
        <v>105000</v>
      </c>
      <c r="K8986" t="e">
        <f>VLOOKUP(B8986,'REGISTRO ABONOS'!$B$8:$BC$10012,54,0)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5"/>
        <v>105000</v>
      </c>
      <c r="K8987" t="e">
        <f>VLOOKUP(B8987,'REGISTRO ABONOS'!$B$8:$BC$10012,54,0)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5"/>
        <v>105000</v>
      </c>
      <c r="K8988" t="e">
        <f>VLOOKUP(B8988,'REGISTRO ABONOS'!$B$8:$BC$10012,54,0)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5"/>
        <v>105000</v>
      </c>
      <c r="K8989" t="e">
        <f>VLOOKUP(B8989,'REGISTRO ABONOS'!$B$8:$BC$10012,54,0)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5"/>
        <v>105000</v>
      </c>
      <c r="K8990" t="e">
        <f>VLOOKUP(B8990,'REGISTRO ABONOS'!$B$8:$BC$10012,54,0)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5"/>
        <v>105000</v>
      </c>
      <c r="K8991" t="e">
        <f>VLOOKUP(B8991,'REGISTRO ABONOS'!$B$8:$BC$10012,54,0)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5"/>
        <v>105000</v>
      </c>
      <c r="K8992" t="e">
        <f>VLOOKUP(B8992,'REGISTRO ABONOS'!$B$8:$BC$10012,54,0)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5"/>
        <v>105000</v>
      </c>
      <c r="K8993" t="e">
        <f>VLOOKUP(B8993,'REGISTRO ABONOS'!$B$8:$BC$10012,54,0)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5"/>
        <v>105000</v>
      </c>
      <c r="K8994" t="e">
        <f>VLOOKUP(B8994,'REGISTRO ABONOS'!$B$8:$BC$10012,54,0)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5"/>
        <v>105000</v>
      </c>
      <c r="K8995" t="e">
        <f>VLOOKUP(B8995,'REGISTRO ABONOS'!$B$8:$BC$10012,54,0)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5"/>
        <v>105000</v>
      </c>
      <c r="K8996" t="e">
        <f>VLOOKUP(B8996,'REGISTRO ABONOS'!$B$8:$BC$10012,54,0)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5"/>
        <v>105000</v>
      </c>
      <c r="K8997" t="e">
        <f>VLOOKUP(B8997,'REGISTRO ABONOS'!$B$8:$BC$10012,54,0)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5"/>
        <v>105000</v>
      </c>
      <c r="K8998" t="e">
        <f>VLOOKUP(B8998,'REGISTRO ABONOS'!$B$8:$BC$10012,54,0)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5"/>
        <v>105000</v>
      </c>
      <c r="K8999" t="e">
        <f>VLOOKUP(B8999,'REGISTRO ABONOS'!$B$8:$BC$10012,54,0)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5"/>
        <v>105000</v>
      </c>
      <c r="K9000" t="e">
        <f>VLOOKUP(B9000,'REGISTRO ABONOS'!$B$8:$BC$10012,54,0)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5"/>
        <v>105000</v>
      </c>
      <c r="K9001" t="e">
        <f>VLOOKUP(B9001,'REGISTRO ABONOS'!$B$8:$BC$10012,54,0)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si="145"/>
        <v>105000</v>
      </c>
      <c r="K9002" t="e">
        <f>VLOOKUP(B9002,'REGISTRO ABONOS'!$B$8:$BC$10012,54,0)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ABONOS'!$B$8:$BC$10012,54,0)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ABONOS'!$B$8:$BC$10012,54,0)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ABONOS'!$B$8:$BC$10012,54,0)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ABONOS'!$B$8:$BC$10012,54,0)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ABONOS'!$B$8:$BC$10012,54,0)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ref="J9008:J9071" si="146">IF(C9008&gt;43607,130000,105000)</f>
        <v>105000</v>
      </c>
      <c r="K9008" t="e">
        <f>VLOOKUP(B9008,'REGISTRO ABONOS'!$B$8:$BC$10012,54,0)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6"/>
        <v>105000</v>
      </c>
      <c r="K9009" t="e">
        <f>VLOOKUP(B9009,'REGISTRO ABONOS'!$B$8:$BC$10012,54,0)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6"/>
        <v>105000</v>
      </c>
      <c r="K9010" t="e">
        <f>VLOOKUP(B9010,'REGISTRO ABONOS'!$B$8:$BC$10012,54,0)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6"/>
        <v>105000</v>
      </c>
      <c r="K9011" t="e">
        <f>VLOOKUP(B9011,'REGISTRO ABONOS'!$B$8:$BC$10012,54,0)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6"/>
        <v>105000</v>
      </c>
      <c r="K9012" t="e">
        <f>VLOOKUP(B9012,'REGISTRO ABONOS'!$B$8:$BC$10012,54,0)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6"/>
        <v>105000</v>
      </c>
      <c r="K9013" t="e">
        <f>VLOOKUP(B9013,'REGISTRO ABONOS'!$B$8:$BC$10012,54,0)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6"/>
        <v>105000</v>
      </c>
      <c r="K9014" t="e">
        <f>VLOOKUP(B9014,'REGISTRO ABONOS'!$B$8:$BC$10012,54,0)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6"/>
        <v>105000</v>
      </c>
      <c r="K9015" t="e">
        <f>VLOOKUP(B9015,'REGISTRO ABONOS'!$B$8:$BC$10012,54,0)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6"/>
        <v>105000</v>
      </c>
      <c r="K9016" t="e">
        <f>VLOOKUP(B9016,'REGISTRO ABONOS'!$B$8:$BC$10012,54,0)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6"/>
        <v>105000</v>
      </c>
      <c r="K9017" t="e">
        <f>VLOOKUP(B9017,'REGISTRO ABONOS'!$B$8:$BC$10012,54,0)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6"/>
        <v>105000</v>
      </c>
      <c r="K9018" t="e">
        <f>VLOOKUP(B9018,'REGISTRO ABONOS'!$B$8:$BC$10012,54,0)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6"/>
        <v>105000</v>
      </c>
      <c r="K9019" t="e">
        <f>VLOOKUP(B9019,'REGISTRO ABONOS'!$B$8:$BC$10012,54,0)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6"/>
        <v>105000</v>
      </c>
      <c r="K9020" t="e">
        <f>VLOOKUP(B9020,'REGISTRO ABONOS'!$B$8:$BC$10012,54,0)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6"/>
        <v>105000</v>
      </c>
      <c r="K9021" t="e">
        <f>VLOOKUP(B9021,'REGISTRO ABONOS'!$B$8:$BC$10012,54,0)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6"/>
        <v>105000</v>
      </c>
      <c r="K9022" t="e">
        <f>VLOOKUP(B9022,'REGISTRO ABONOS'!$B$8:$BC$10012,54,0)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6"/>
        <v>105000</v>
      </c>
      <c r="K9023" t="e">
        <f>VLOOKUP(B9023,'REGISTRO ABONOS'!$B$8:$BC$10012,54,0)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6"/>
        <v>105000</v>
      </c>
      <c r="K9024" t="e">
        <f>VLOOKUP(B9024,'REGISTRO ABONOS'!$B$8:$BC$10012,54,0)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6"/>
        <v>105000</v>
      </c>
      <c r="K9025" t="e">
        <f>VLOOKUP(B9025,'REGISTRO ABONOS'!$B$8:$BC$10012,54,0)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6"/>
        <v>105000</v>
      </c>
      <c r="K9026" t="e">
        <f>VLOOKUP(B9026,'REGISTRO ABONOS'!$B$8:$BC$10012,54,0)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J9027">
        <f t="shared" si="146"/>
        <v>105000</v>
      </c>
      <c r="K9027" t="e">
        <f>VLOOKUP(B9027,'REGISTRO ABONOS'!$B$8:$BC$10012,54,0)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6"/>
        <v>105000</v>
      </c>
      <c r="K9028" t="e">
        <f>VLOOKUP(B9028,'REGISTRO ABONOS'!$B$8:$BC$10012,54,0)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6"/>
        <v>105000</v>
      </c>
      <c r="K9029" t="e">
        <f>VLOOKUP(B9029,'REGISTRO ABONOS'!$B$8:$BC$10012,54,0)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6"/>
        <v>105000</v>
      </c>
      <c r="K9030" t="e">
        <f>VLOOKUP(B9030,'REGISTRO ABONOS'!$B$8:$BC$10012,54,0)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6"/>
        <v>105000</v>
      </c>
      <c r="K9031" t="e">
        <f>VLOOKUP(B9031,'REGISTRO ABONOS'!$B$8:$BC$10012,54,0)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6"/>
        <v>105000</v>
      </c>
      <c r="K9032" t="e">
        <f>VLOOKUP(B9032,'REGISTRO ABONOS'!$B$8:$BC$10012,54,0)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6"/>
        <v>105000</v>
      </c>
      <c r="K9033" t="e">
        <f>VLOOKUP(B9033,'REGISTRO ABONOS'!$B$8:$BC$10012,54,0)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6"/>
        <v>105000</v>
      </c>
      <c r="K9034" t="e">
        <f>VLOOKUP(B9034,'REGISTRO ABONOS'!$B$8:$BC$10012,54,0)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6"/>
        <v>105000</v>
      </c>
      <c r="K9035" t="e">
        <f>VLOOKUP(B9035,'REGISTRO ABONOS'!$B$8:$BC$10012,54,0)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6"/>
        <v>105000</v>
      </c>
      <c r="K9036" t="e">
        <f>VLOOKUP(B9036,'REGISTRO ABONOS'!$B$8:$BC$10012,54,0)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6"/>
        <v>105000</v>
      </c>
      <c r="K9037" t="e">
        <f>VLOOKUP(B9037,'REGISTRO ABONOS'!$B$8:$BC$10012,54,0)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6"/>
        <v>105000</v>
      </c>
      <c r="K9038" t="e">
        <f>VLOOKUP(B9038,'REGISTRO ABONOS'!$B$8:$BC$10012,54,0)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6"/>
        <v>105000</v>
      </c>
      <c r="K9039" t="e">
        <f>VLOOKUP(B9039,'REGISTRO ABONOS'!$B$8:$BC$10012,54,0)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6"/>
        <v>105000</v>
      </c>
      <c r="K9040" t="e">
        <f>VLOOKUP(B9040,'REGISTRO ABONOS'!$B$8:$BC$10012,54,0)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6"/>
        <v>105000</v>
      </c>
      <c r="K9041" t="e">
        <f>VLOOKUP(B9041,'REGISTRO ABONOS'!$B$8:$BC$10012,54,0)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6"/>
        <v>105000</v>
      </c>
      <c r="K9042" t="e">
        <f>VLOOKUP(B9042,'REGISTRO ABONOS'!$B$8:$BC$10012,54,0)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6"/>
        <v>105000</v>
      </c>
      <c r="K9043" t="e">
        <f>VLOOKUP(B9043,'REGISTRO ABONOS'!$B$8:$BC$10012,54,0)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6"/>
        <v>105000</v>
      </c>
      <c r="K9044" t="e">
        <f>VLOOKUP(B9044,'REGISTRO ABONOS'!$B$8:$BC$10012,54,0)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6"/>
        <v>105000</v>
      </c>
      <c r="K9045" t="e">
        <f>VLOOKUP(B9045,'REGISTRO ABONOS'!$B$8:$BC$10012,54,0)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6"/>
        <v>105000</v>
      </c>
      <c r="K9046" t="e">
        <f>VLOOKUP(B9046,'REGISTRO ABONOS'!$B$8:$BC$10012,54,0)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6"/>
        <v>105000</v>
      </c>
      <c r="K9047" t="e">
        <f>VLOOKUP(B9047,'REGISTRO ABONOS'!$B$8:$BC$10012,54,0)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6"/>
        <v>105000</v>
      </c>
      <c r="K9048" t="e">
        <f>VLOOKUP(B9048,'REGISTRO ABONOS'!$B$8:$BC$10012,54,0)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6"/>
        <v>105000</v>
      </c>
      <c r="K9049" t="e">
        <f>VLOOKUP(B9049,'REGISTRO ABONOS'!$B$8:$BC$10012,54,0)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6"/>
        <v>105000</v>
      </c>
      <c r="K9050" t="e">
        <f>VLOOKUP(B9050,'REGISTRO ABONOS'!$B$8:$BC$10012,54,0)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6"/>
        <v>105000</v>
      </c>
      <c r="K9051" t="e">
        <f>VLOOKUP(B9051,'REGISTRO ABONOS'!$B$8:$BC$10012,54,0)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6"/>
        <v>105000</v>
      </c>
      <c r="K9052" t="e">
        <f>VLOOKUP(B9052,'REGISTRO ABONOS'!$B$8:$BC$10012,54,0)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6"/>
        <v>105000</v>
      </c>
      <c r="K9053" t="e">
        <f>VLOOKUP(B9053,'REGISTRO ABONOS'!$B$8:$BC$10012,54,0)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6"/>
        <v>105000</v>
      </c>
      <c r="K9054" t="e">
        <f>VLOOKUP(B9054,'REGISTRO ABONOS'!$B$8:$BC$10012,54,0)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6"/>
        <v>105000</v>
      </c>
      <c r="K9055" t="e">
        <f>VLOOKUP(B9055,'REGISTRO ABONOS'!$B$8:$BC$10012,54,0)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6"/>
        <v>105000</v>
      </c>
      <c r="K9056" t="e">
        <f>VLOOKUP(B9056,'REGISTRO ABONOS'!$B$8:$BC$10012,54,0)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6"/>
        <v>105000</v>
      </c>
      <c r="K9057" t="e">
        <f>VLOOKUP(B9057,'REGISTRO ABONOS'!$B$8:$BC$10012,54,0)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6"/>
        <v>105000</v>
      </c>
      <c r="K9058" t="e">
        <f>VLOOKUP(B9058,'REGISTRO ABONOS'!$B$8:$BC$10012,54,0)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6"/>
        <v>105000</v>
      </c>
      <c r="K9059" t="e">
        <f>VLOOKUP(B9059,'REGISTRO ABONOS'!$B$8:$BC$10012,54,0)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6"/>
        <v>105000</v>
      </c>
      <c r="K9060" t="e">
        <f>VLOOKUP(B9060,'REGISTRO ABONOS'!$B$8:$BC$10012,54,0)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6"/>
        <v>105000</v>
      </c>
      <c r="K9061" t="e">
        <f>VLOOKUP(B9061,'REGISTRO ABONOS'!$B$8:$BC$10012,54,0)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6"/>
        <v>105000</v>
      </c>
      <c r="K9062" t="e">
        <f>VLOOKUP(B9062,'REGISTRO ABONOS'!$B$8:$BC$10012,54,0)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6"/>
        <v>105000</v>
      </c>
      <c r="K9063" t="e">
        <f>VLOOKUP(B9063,'REGISTRO ABONOS'!$B$8:$BC$10012,54,0)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6"/>
        <v>105000</v>
      </c>
      <c r="K9064" t="e">
        <f>VLOOKUP(B9064,'REGISTRO ABONOS'!$B$8:$BC$10012,54,0)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6"/>
        <v>105000</v>
      </c>
      <c r="K9065" t="e">
        <f>VLOOKUP(B9065,'REGISTRO ABONOS'!$B$8:$BC$10012,54,0)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si="146"/>
        <v>105000</v>
      </c>
      <c r="K9066" t="e">
        <f>VLOOKUP(B9066,'REGISTRO ABONOS'!$B$8:$BC$10012,54,0)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ABONOS'!$B$8:$BC$10012,54,0)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ABONOS'!$B$8:$BC$10012,54,0)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ABONOS'!$B$8:$BC$10012,54,0)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ABONOS'!$B$8:$BC$10012,54,0)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ABONOS'!$B$8:$BC$10012,54,0)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ref="J9072:J9135" si="147">IF(C9072&gt;43607,130000,105000)</f>
        <v>105000</v>
      </c>
      <c r="K9072" t="e">
        <f>VLOOKUP(B9072,'REGISTRO ABONOS'!$B$8:$BC$10012,54,0)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7"/>
        <v>105000</v>
      </c>
      <c r="K9073" t="e">
        <f>VLOOKUP(B9073,'REGISTRO ABONOS'!$B$8:$BC$10012,54,0)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7"/>
        <v>105000</v>
      </c>
      <c r="K9074" t="e">
        <f>VLOOKUP(B9074,'REGISTRO ABONOS'!$B$8:$BC$10012,54,0)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7"/>
        <v>105000</v>
      </c>
      <c r="K9075" t="e">
        <f>VLOOKUP(B9075,'REGISTRO ABONOS'!$B$8:$BC$10012,54,0)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7"/>
        <v>105000</v>
      </c>
      <c r="K9076" t="e">
        <f>VLOOKUP(B9076,'REGISTRO ABONOS'!$B$8:$BC$10012,54,0)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7"/>
        <v>105000</v>
      </c>
      <c r="K9077" t="e">
        <f>VLOOKUP(B9077,'REGISTRO ABONOS'!$B$8:$BC$10012,54,0)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7"/>
        <v>105000</v>
      </c>
      <c r="K9078" t="e">
        <f>VLOOKUP(B9078,'REGISTRO ABONOS'!$B$8:$BC$10012,54,0)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7"/>
        <v>105000</v>
      </c>
      <c r="K9079" t="e">
        <f>VLOOKUP(B9079,'REGISTRO ABONOS'!$B$8:$BC$10012,54,0)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7"/>
        <v>105000</v>
      </c>
      <c r="K9080" t="e">
        <f>VLOOKUP(B9080,'REGISTRO ABONOS'!$B$8:$BC$10012,54,0)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7"/>
        <v>105000</v>
      </c>
      <c r="K9081" t="e">
        <f>VLOOKUP(B9081,'REGISTRO ABONOS'!$B$8:$BC$10012,54,0)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7"/>
        <v>105000</v>
      </c>
      <c r="K9082" t="e">
        <f>VLOOKUP(B9082,'REGISTRO ABONOS'!$B$8:$BC$10012,54,0)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7"/>
        <v>105000</v>
      </c>
      <c r="K9083" t="e">
        <f>VLOOKUP(B9083,'REGISTRO ABONOS'!$B$8:$BC$10012,54,0)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7"/>
        <v>105000</v>
      </c>
      <c r="K9084" t="e">
        <f>VLOOKUP(B9084,'REGISTRO ABONOS'!$B$8:$BC$10012,54,0)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7"/>
        <v>105000</v>
      </c>
      <c r="K9085" t="e">
        <f>VLOOKUP(B9085,'REGISTRO ABONOS'!$B$8:$BC$10012,54,0)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7"/>
        <v>105000</v>
      </c>
      <c r="K9086" t="e">
        <f>VLOOKUP(B9086,'REGISTRO ABONOS'!$B$8:$BC$10012,54,0)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7"/>
        <v>105000</v>
      </c>
      <c r="K9087" t="e">
        <f>VLOOKUP(B9087,'REGISTRO ABONOS'!$B$8:$BC$10012,54,0)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7"/>
        <v>105000</v>
      </c>
      <c r="K9088" t="e">
        <f>VLOOKUP(B9088,'REGISTRO ABONOS'!$B$8:$BC$10012,54,0)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7"/>
        <v>105000</v>
      </c>
      <c r="K9089" t="e">
        <f>VLOOKUP(B9089,'REGISTRO ABONOS'!$B$8:$BC$10012,54,0)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7"/>
        <v>105000</v>
      </c>
      <c r="K9090" t="e">
        <f>VLOOKUP(B9090,'REGISTRO ABONOS'!$B$8:$BC$10012,54,0)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7"/>
        <v>105000</v>
      </c>
      <c r="K9091" t="e">
        <f>VLOOKUP(B9091,'REGISTRO ABONOS'!$B$8:$BC$10012,54,0)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7"/>
        <v>105000</v>
      </c>
      <c r="K9092" t="e">
        <f>VLOOKUP(B9092,'REGISTRO ABONOS'!$B$8:$BC$10012,54,0)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7"/>
        <v>105000</v>
      </c>
      <c r="K9093" t="e">
        <f>VLOOKUP(B9093,'REGISTRO ABONOS'!$B$8:$BC$10012,54,0)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7"/>
        <v>105000</v>
      </c>
      <c r="K9094" t="e">
        <f>VLOOKUP(B9094,'REGISTRO ABONOS'!$B$8:$BC$10012,54,0)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7"/>
        <v>105000</v>
      </c>
      <c r="K9095" t="e">
        <f>VLOOKUP(B9095,'REGISTRO ABONOS'!$B$8:$BC$10012,54,0)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7"/>
        <v>105000</v>
      </c>
      <c r="K9096" t="e">
        <f>VLOOKUP(B9096,'REGISTRO ABONOS'!$B$8:$BC$10012,54,0)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7"/>
        <v>105000</v>
      </c>
      <c r="K9097" t="e">
        <f>VLOOKUP(B9097,'REGISTRO ABONOS'!$B$8:$BC$10012,54,0)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7"/>
        <v>105000</v>
      </c>
      <c r="K9098" t="e">
        <f>VLOOKUP(B9098,'REGISTRO ABONOS'!$B$8:$BC$10012,54,0)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7"/>
        <v>105000</v>
      </c>
      <c r="K9099" t="e">
        <f>VLOOKUP(B9099,'REGISTRO ABONOS'!$B$8:$BC$10012,54,0)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7"/>
        <v>105000</v>
      </c>
      <c r="K9100" t="e">
        <f>VLOOKUP(B9100,'REGISTRO ABONOS'!$B$8:$BC$10012,54,0)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7"/>
        <v>105000</v>
      </c>
      <c r="K9101" t="e">
        <f>VLOOKUP(B9101,'REGISTRO ABONOS'!$B$8:$BC$10012,54,0)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7"/>
        <v>105000</v>
      </c>
      <c r="K9102" t="e">
        <f>VLOOKUP(B9102,'REGISTRO ABONOS'!$B$8:$BC$10012,54,0)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7"/>
        <v>105000</v>
      </c>
      <c r="K9103" t="e">
        <f>VLOOKUP(B9103,'REGISTRO ABONOS'!$B$8:$BC$10012,54,0)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7"/>
        <v>105000</v>
      </c>
      <c r="K9104" t="e">
        <f>VLOOKUP(B9104,'REGISTRO ABONOS'!$B$8:$BC$10012,54,0)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7"/>
        <v>105000</v>
      </c>
      <c r="K9105" t="e">
        <f>VLOOKUP(B9105,'REGISTRO ABONOS'!$B$8:$BC$10012,54,0)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7"/>
        <v>105000</v>
      </c>
      <c r="K9106" t="e">
        <f>VLOOKUP(B9106,'REGISTRO ABONOS'!$B$8:$BC$10012,54,0)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7"/>
        <v>105000</v>
      </c>
      <c r="K9107" t="e">
        <f>VLOOKUP(B9107,'REGISTRO ABONOS'!$B$8:$BC$10012,54,0)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7"/>
        <v>105000</v>
      </c>
      <c r="K9108" t="e">
        <f>VLOOKUP(B9108,'REGISTRO ABONOS'!$B$8:$BC$10012,54,0)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7"/>
        <v>105000</v>
      </c>
      <c r="K9109" t="e">
        <f>VLOOKUP(B9109,'REGISTRO ABONOS'!$B$8:$BC$10012,54,0)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7"/>
        <v>105000</v>
      </c>
      <c r="K9110" t="e">
        <f>VLOOKUP(B9110,'REGISTRO ABONOS'!$B$8:$BC$10012,54,0)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J9111">
        <f t="shared" si="147"/>
        <v>105000</v>
      </c>
      <c r="K9111" t="e">
        <f>VLOOKUP(B9111,'REGISTRO ABONOS'!$B$8:$BC$10012,54,0)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7"/>
        <v>105000</v>
      </c>
      <c r="K9112" t="e">
        <f>VLOOKUP(B9112,'REGISTRO ABONOS'!$B$8:$BC$10012,54,0)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7"/>
        <v>105000</v>
      </c>
      <c r="K9113" t="e">
        <f>VLOOKUP(B9113,'REGISTRO ABONOS'!$B$8:$BC$10012,54,0)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7"/>
        <v>105000</v>
      </c>
      <c r="K9114" t="e">
        <f>VLOOKUP(B9114,'REGISTRO ABONOS'!$B$8:$BC$10012,54,0)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7"/>
        <v>105000</v>
      </c>
      <c r="K9115" t="e">
        <f>VLOOKUP(B9115,'REGISTRO ABONOS'!$B$8:$BC$10012,54,0)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7"/>
        <v>105000</v>
      </c>
      <c r="K9116" t="e">
        <f>VLOOKUP(B9116,'REGISTRO ABONOS'!$B$8:$BC$10012,54,0)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7"/>
        <v>105000</v>
      </c>
      <c r="K9117" t="e">
        <f>VLOOKUP(B9117,'REGISTRO ABONOS'!$B$8:$BC$10012,54,0)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7"/>
        <v>105000</v>
      </c>
      <c r="K9118" t="e">
        <f>VLOOKUP(B9118,'REGISTRO ABONOS'!$B$8:$BC$10012,54,0)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7"/>
        <v>105000</v>
      </c>
      <c r="K9119" t="e">
        <f>VLOOKUP(B9119,'REGISTRO ABONOS'!$B$8:$BC$10012,54,0)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7"/>
        <v>105000</v>
      </c>
      <c r="K9120" t="e">
        <f>VLOOKUP(B9120,'REGISTRO ABONOS'!$B$8:$BC$10012,54,0)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7"/>
        <v>105000</v>
      </c>
      <c r="K9121" t="e">
        <f>VLOOKUP(B9121,'REGISTRO ABONOS'!$B$8:$BC$10012,54,0)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J9122">
        <f t="shared" si="147"/>
        <v>105000</v>
      </c>
      <c r="K9122" t="e">
        <f>VLOOKUP(B9122,'REGISTRO ABONOS'!$B$8:$BC$10012,54,0)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7"/>
        <v>105000</v>
      </c>
      <c r="K9123" t="e">
        <f>VLOOKUP(B9123,'REGISTRO ABONOS'!$B$8:$BC$10012,54,0)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7"/>
        <v>105000</v>
      </c>
      <c r="K9124" t="e">
        <f>VLOOKUP(B9124,'REGISTRO ABONOS'!$B$8:$BC$10012,54,0)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7"/>
        <v>105000</v>
      </c>
      <c r="K9125" t="e">
        <f>VLOOKUP(B9125,'REGISTRO ABONOS'!$B$8:$BC$10012,54,0)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7"/>
        <v>105000</v>
      </c>
      <c r="K9126" t="e">
        <f>VLOOKUP(B9126,'REGISTRO ABONOS'!$B$8:$BC$10012,54,0)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7"/>
        <v>105000</v>
      </c>
      <c r="K9127" t="e">
        <f>VLOOKUP(B9127,'REGISTRO ABONOS'!$B$8:$BC$10012,54,0)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7"/>
        <v>105000</v>
      </c>
      <c r="K9128" t="e">
        <f>VLOOKUP(B9128,'REGISTRO ABONOS'!$B$8:$BC$10012,54,0)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7"/>
        <v>105000</v>
      </c>
      <c r="K9129" t="e">
        <f>VLOOKUP(B9129,'REGISTRO ABONOS'!$B$8:$BC$10012,54,0)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si="147"/>
        <v>105000</v>
      </c>
      <c r="K9130" t="e">
        <f>VLOOKUP(B9130,'REGISTRO ABONOS'!$B$8:$BC$10012,54,0)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ABONOS'!$B$8:$BC$10012,54,0)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ABONOS'!$B$8:$BC$10012,54,0)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ABONOS'!$B$8:$BC$10012,54,0)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ABONOS'!$B$8:$BC$10012,54,0)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ABONOS'!$B$8:$BC$10012,54,0)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ref="J9136:J9199" si="148">IF(C9136&gt;43607,130000,105000)</f>
        <v>105000</v>
      </c>
      <c r="K9136" t="e">
        <f>VLOOKUP(B9136,'REGISTRO ABONOS'!$B$8:$BC$10012,54,0)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8"/>
        <v>105000</v>
      </c>
      <c r="K9137" t="e">
        <f>VLOOKUP(B9137,'REGISTRO ABONOS'!$B$8:$BC$10012,54,0)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8"/>
        <v>105000</v>
      </c>
      <c r="K9138" t="e">
        <f>VLOOKUP(B9138,'REGISTRO ABONOS'!$B$8:$BC$10012,54,0)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8"/>
        <v>105000</v>
      </c>
      <c r="K9139" t="e">
        <f>VLOOKUP(B9139,'REGISTRO ABONOS'!$B$8:$BC$10012,54,0)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8"/>
        <v>105000</v>
      </c>
      <c r="K9140" t="e">
        <f>VLOOKUP(B9140,'REGISTRO ABONOS'!$B$8:$BC$10012,54,0)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8"/>
        <v>105000</v>
      </c>
      <c r="K9141" t="e">
        <f>VLOOKUP(B9141,'REGISTRO ABONOS'!$B$8:$BC$10012,54,0)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8"/>
        <v>105000</v>
      </c>
      <c r="K9142" t="e">
        <f>VLOOKUP(B9142,'REGISTRO ABONOS'!$B$8:$BC$10012,54,0)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8"/>
        <v>105000</v>
      </c>
      <c r="K9143" t="e">
        <f>VLOOKUP(B9143,'REGISTRO ABONOS'!$B$8:$BC$10012,54,0)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8"/>
        <v>105000</v>
      </c>
      <c r="K9144" t="e">
        <f>VLOOKUP(B9144,'REGISTRO ABONOS'!$B$8:$BC$10012,54,0)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8"/>
        <v>105000</v>
      </c>
      <c r="K9145" t="e">
        <f>VLOOKUP(B9145,'REGISTRO ABONOS'!$B$8:$BC$10012,54,0)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8"/>
        <v>105000</v>
      </c>
      <c r="K9146" t="e">
        <f>VLOOKUP(B9146,'REGISTRO ABONOS'!$B$8:$BC$10012,54,0)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8"/>
        <v>105000</v>
      </c>
      <c r="K9147" t="e">
        <f>VLOOKUP(B9147,'REGISTRO ABONOS'!$B$8:$BC$10012,54,0)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8"/>
        <v>105000</v>
      </c>
      <c r="K9148" t="e">
        <f>VLOOKUP(B9148,'REGISTRO ABONOS'!$B$8:$BC$10012,54,0)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8"/>
        <v>105000</v>
      </c>
      <c r="K9149" t="e">
        <f>VLOOKUP(B9149,'REGISTRO ABONOS'!$B$8:$BC$10012,54,0)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8"/>
        <v>105000</v>
      </c>
      <c r="K9150" t="e">
        <f>VLOOKUP(B9150,'REGISTRO ABONOS'!$B$8:$BC$10012,54,0)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8"/>
        <v>105000</v>
      </c>
      <c r="K9151" t="e">
        <f>VLOOKUP(B9151,'REGISTRO ABONOS'!$B$8:$BC$10012,54,0)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8"/>
        <v>105000</v>
      </c>
      <c r="K9152" t="e">
        <f>VLOOKUP(B9152,'REGISTRO ABONOS'!$B$8:$BC$10012,54,0)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8"/>
        <v>105000</v>
      </c>
      <c r="K9153" t="e">
        <f>VLOOKUP(B9153,'REGISTRO ABONOS'!$B$8:$BC$10012,54,0)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8"/>
        <v>105000</v>
      </c>
      <c r="K9154" t="e">
        <f>VLOOKUP(B9154,'REGISTRO ABONOS'!$B$8:$BC$10012,54,0)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8"/>
        <v>105000</v>
      </c>
      <c r="K9155" t="e">
        <f>VLOOKUP(B9155,'REGISTRO ABONOS'!$B$8:$BC$10012,54,0)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8"/>
        <v>105000</v>
      </c>
      <c r="K9156" t="e">
        <f>VLOOKUP(B9156,'REGISTRO ABONOS'!$B$8:$BC$10012,54,0)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8"/>
        <v>105000</v>
      </c>
      <c r="K9157" t="e">
        <f>VLOOKUP(B9157,'REGISTRO ABONOS'!$B$8:$BC$10012,54,0)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8"/>
        <v>105000</v>
      </c>
      <c r="K9158" t="e">
        <f>VLOOKUP(B9158,'REGISTRO ABONOS'!$B$8:$BC$10012,54,0)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8"/>
        <v>105000</v>
      </c>
      <c r="K9159" t="e">
        <f>VLOOKUP(B9159,'REGISTRO ABONOS'!$B$8:$BC$10012,54,0)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8"/>
        <v>105000</v>
      </c>
      <c r="K9160" t="e">
        <f>VLOOKUP(B9160,'REGISTRO ABONOS'!$B$8:$BC$10012,54,0)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8"/>
        <v>105000</v>
      </c>
      <c r="K9161" t="e">
        <f>VLOOKUP(B9161,'REGISTRO ABONOS'!$B$8:$BC$10012,54,0)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8"/>
        <v>105000</v>
      </c>
      <c r="K9162" t="e">
        <f>VLOOKUP(B9162,'REGISTRO ABONOS'!$B$8:$BC$10012,54,0)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8"/>
        <v>105000</v>
      </c>
      <c r="K9163" t="e">
        <f>VLOOKUP(B9163,'REGISTRO ABONOS'!$B$8:$BC$10012,54,0)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8"/>
        <v>105000</v>
      </c>
      <c r="K9164" t="e">
        <f>VLOOKUP(B9164,'REGISTRO ABONOS'!$B$8:$BC$10012,54,0)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8"/>
        <v>105000</v>
      </c>
      <c r="K9165" t="e">
        <f>VLOOKUP(B9165,'REGISTRO ABONOS'!$B$8:$BC$10012,54,0)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8"/>
        <v>105000</v>
      </c>
      <c r="K9166" t="e">
        <f>VLOOKUP(B9166,'REGISTRO ABONOS'!$B$8:$BC$10012,54,0)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8"/>
        <v>105000</v>
      </c>
      <c r="K9167" t="e">
        <f>VLOOKUP(B9167,'REGISTRO ABONOS'!$B$8:$BC$10012,54,0)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8"/>
        <v>105000</v>
      </c>
      <c r="K9168" t="e">
        <f>VLOOKUP(B9168,'REGISTRO ABONOS'!$B$8:$BC$10012,54,0)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8"/>
        <v>105000</v>
      </c>
      <c r="K9169" t="e">
        <f>VLOOKUP(B9169,'REGISTRO ABONOS'!$B$8:$BC$10012,54,0)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8"/>
        <v>105000</v>
      </c>
      <c r="K9170" t="e">
        <f>VLOOKUP(B9170,'REGISTRO ABONOS'!$B$8:$BC$10012,54,0)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8"/>
        <v>105000</v>
      </c>
      <c r="K9171" t="e">
        <f>VLOOKUP(B9171,'REGISTRO ABONOS'!$B$8:$BC$10012,54,0)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8"/>
        <v>105000</v>
      </c>
      <c r="K9172" t="e">
        <f>VLOOKUP(B9172,'REGISTRO ABONOS'!$B$8:$BC$10012,54,0)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8"/>
        <v>105000</v>
      </c>
      <c r="K9173" t="e">
        <f>VLOOKUP(B9173,'REGISTRO ABONOS'!$B$8:$BC$10012,54,0)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8"/>
        <v>105000</v>
      </c>
      <c r="K9174" t="e">
        <f>VLOOKUP(B9174,'REGISTRO ABONOS'!$B$8:$BC$10012,54,0)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8"/>
        <v>105000</v>
      </c>
      <c r="K9175" t="e">
        <f>VLOOKUP(B9175,'REGISTRO ABONOS'!$B$8:$BC$10012,54,0)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8"/>
        <v>105000</v>
      </c>
      <c r="K9176" t="e">
        <f>VLOOKUP(B9176,'REGISTRO ABONOS'!$B$8:$BC$10012,54,0)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8"/>
        <v>105000</v>
      </c>
      <c r="K9177" t="e">
        <f>VLOOKUP(B9177,'REGISTRO ABONOS'!$B$8:$BC$10012,54,0)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8"/>
        <v>105000</v>
      </c>
      <c r="K9178" t="e">
        <f>VLOOKUP(B9178,'REGISTRO ABONOS'!$B$8:$BC$10012,54,0)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8"/>
        <v>105000</v>
      </c>
      <c r="K9179" t="e">
        <f>VLOOKUP(B9179,'REGISTRO ABONOS'!$B$8:$BC$10012,54,0)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8"/>
        <v>105000</v>
      </c>
      <c r="K9180" t="e">
        <f>VLOOKUP(B9180,'REGISTRO ABONOS'!$B$8:$BC$10012,54,0)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8"/>
        <v>105000</v>
      </c>
      <c r="K9181" t="e">
        <f>VLOOKUP(B9181,'REGISTRO ABONOS'!$B$8:$BC$10012,54,0)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8"/>
        <v>105000</v>
      </c>
      <c r="K9182" t="e">
        <f>VLOOKUP(B9182,'REGISTRO ABONOS'!$B$8:$BC$10012,54,0)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8"/>
        <v>105000</v>
      </c>
      <c r="K9183" t="e">
        <f>VLOOKUP(B9183,'REGISTRO ABONOS'!$B$8:$BC$10012,54,0)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8"/>
        <v>105000</v>
      </c>
      <c r="K9184" t="e">
        <f>VLOOKUP(B9184,'REGISTRO ABONOS'!$B$8:$BC$10012,54,0)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8"/>
        <v>105000</v>
      </c>
      <c r="K9185" t="e">
        <f>VLOOKUP(B9185,'REGISTRO ABONOS'!$B$8:$BC$10012,54,0)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8"/>
        <v>105000</v>
      </c>
      <c r="K9186" t="e">
        <f>VLOOKUP(B9186,'REGISTRO ABONOS'!$B$8:$BC$10012,54,0)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8"/>
        <v>105000</v>
      </c>
      <c r="K9187" t="e">
        <f>VLOOKUP(B9187,'REGISTRO ABONOS'!$B$8:$BC$10012,54,0)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8"/>
        <v>105000</v>
      </c>
      <c r="K9188" t="e">
        <f>VLOOKUP(B9188,'REGISTRO ABONOS'!$B$8:$BC$10012,54,0)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8"/>
        <v>105000</v>
      </c>
      <c r="K9189" t="e">
        <f>VLOOKUP(B9189,'REGISTRO ABONOS'!$B$8:$BC$10012,54,0)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8"/>
        <v>105000</v>
      </c>
      <c r="K9190" t="e">
        <f>VLOOKUP(B9190,'REGISTRO ABONOS'!$B$8:$BC$10012,54,0)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8"/>
        <v>105000</v>
      </c>
      <c r="K9191" t="e">
        <f>VLOOKUP(B9191,'REGISTRO ABONOS'!$B$8:$BC$10012,54,0)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8"/>
        <v>105000</v>
      </c>
      <c r="K9192" t="e">
        <f>VLOOKUP(B9192,'REGISTRO ABONOS'!$B$8:$BC$10012,54,0)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8"/>
        <v>105000</v>
      </c>
      <c r="K9193" t="e">
        <f>VLOOKUP(B9193,'REGISTRO ABONOS'!$B$8:$BC$10012,54,0)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si="148"/>
        <v>105000</v>
      </c>
      <c r="K9194" t="e">
        <f>VLOOKUP(B9194,'REGISTRO ABONOS'!$B$8:$BC$10012,54,0)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ABONOS'!$B$8:$BC$10012,54,0)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ABONOS'!$B$8:$BC$10012,54,0)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ABONOS'!$B$8:$BC$10012,54,0)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ABONOS'!$B$8:$BC$10012,54,0)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ABONOS'!$B$8:$BC$10012,54,0)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ref="J9200:J9263" si="149">IF(C9200&gt;43607,130000,105000)</f>
        <v>105000</v>
      </c>
      <c r="K9200" t="e">
        <f>VLOOKUP(B9200,'REGISTRO ABONOS'!$B$8:$BC$10012,54,0)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9"/>
        <v>105000</v>
      </c>
      <c r="K9201" t="e">
        <f>VLOOKUP(B9201,'REGISTRO ABONOS'!$B$8:$BC$10012,54,0)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9"/>
        <v>105000</v>
      </c>
      <c r="K9202" t="e">
        <f>VLOOKUP(B9202,'REGISTRO ABONOS'!$B$8:$BC$10012,54,0)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9"/>
        <v>105000</v>
      </c>
      <c r="K9203" t="e">
        <f>VLOOKUP(B9203,'REGISTRO ABONOS'!$B$8:$BC$10012,54,0)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9"/>
        <v>105000</v>
      </c>
      <c r="K9204" t="e">
        <f>VLOOKUP(B9204,'REGISTRO ABONOS'!$B$8:$BC$10012,54,0)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9"/>
        <v>105000</v>
      </c>
      <c r="K9205" t="e">
        <f>VLOOKUP(B9205,'REGISTRO ABONOS'!$B$8:$BC$10012,54,0)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9"/>
        <v>105000</v>
      </c>
      <c r="K9206" t="e">
        <f>VLOOKUP(B9206,'REGISTRO ABONOS'!$B$8:$BC$10012,54,0)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9"/>
        <v>105000</v>
      </c>
      <c r="K9207" t="e">
        <f>VLOOKUP(B9207,'REGISTRO ABONOS'!$B$8:$BC$10012,54,0)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9"/>
        <v>105000</v>
      </c>
      <c r="K9208" t="e">
        <f>VLOOKUP(B9208,'REGISTRO ABONOS'!$B$8:$BC$10012,54,0)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9"/>
        <v>105000</v>
      </c>
      <c r="K9209" t="e">
        <f>VLOOKUP(B9209,'REGISTRO ABONOS'!$B$8:$BC$10012,54,0)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9"/>
        <v>105000</v>
      </c>
      <c r="K9210" t="e">
        <f>VLOOKUP(B9210,'REGISTRO ABONOS'!$B$8:$BC$10012,54,0)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9"/>
        <v>105000</v>
      </c>
      <c r="K9211" t="e">
        <f>VLOOKUP(B9211,'REGISTRO ABONOS'!$B$8:$BC$10012,54,0)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9"/>
        <v>105000</v>
      </c>
      <c r="K9212" t="e">
        <f>VLOOKUP(B9212,'REGISTRO ABONOS'!$B$8:$BC$10012,54,0)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9"/>
        <v>105000</v>
      </c>
      <c r="K9213" t="e">
        <f>VLOOKUP(B9213,'REGISTRO ABONOS'!$B$8:$BC$10012,54,0)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9"/>
        <v>105000</v>
      </c>
      <c r="K9214" t="e">
        <f>VLOOKUP(B9214,'REGISTRO ABONOS'!$B$8:$BC$10012,54,0)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9"/>
        <v>105000</v>
      </c>
      <c r="K9215" t="e">
        <f>VLOOKUP(B9215,'REGISTRO ABONOS'!$B$8:$BC$10012,54,0)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9"/>
        <v>105000</v>
      </c>
      <c r="K9216" t="e">
        <f>VLOOKUP(B9216,'REGISTRO ABONOS'!$B$8:$BC$10012,54,0)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9"/>
        <v>105000</v>
      </c>
      <c r="K9217" t="e">
        <f>VLOOKUP(B9217,'REGISTRO ABONOS'!$B$8:$BC$10012,54,0)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9"/>
        <v>105000</v>
      </c>
      <c r="K9218" t="e">
        <f>VLOOKUP(B9218,'REGISTRO ABONOS'!$B$8:$BC$10012,54,0)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9"/>
        <v>105000</v>
      </c>
      <c r="K9219" t="e">
        <f>VLOOKUP(B9219,'REGISTRO ABONOS'!$B$8:$BC$10012,54,0)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9"/>
        <v>105000</v>
      </c>
      <c r="K9220" t="e">
        <f>VLOOKUP(B9220,'REGISTRO ABONOS'!$B$8:$BC$10012,54,0)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9"/>
        <v>105000</v>
      </c>
      <c r="K9221" t="e">
        <f>VLOOKUP(B9221,'REGISTRO ABONOS'!$B$8:$BC$10012,54,0)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9"/>
        <v>105000</v>
      </c>
      <c r="K9222" t="e">
        <f>VLOOKUP(B9222,'REGISTRO ABONOS'!$B$8:$BC$10012,54,0)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9"/>
        <v>105000</v>
      </c>
      <c r="K9223" t="e">
        <f>VLOOKUP(B9223,'REGISTRO ABONOS'!$B$8:$BC$10012,54,0)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9"/>
        <v>105000</v>
      </c>
      <c r="K9224" t="e">
        <f>VLOOKUP(B9224,'REGISTRO ABONOS'!$B$8:$BC$10012,54,0)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9"/>
        <v>105000</v>
      </c>
      <c r="K9225" t="e">
        <f>VLOOKUP(B9225,'REGISTRO ABONOS'!$B$8:$BC$10012,54,0)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9"/>
        <v>105000</v>
      </c>
      <c r="K9226" t="e">
        <f>VLOOKUP(B9226,'REGISTRO ABONOS'!$B$8:$BC$10012,54,0)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9"/>
        <v>105000</v>
      </c>
      <c r="K9227" t="e">
        <f>VLOOKUP(B9227,'REGISTRO ABONOS'!$B$8:$BC$10012,54,0)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9"/>
        <v>105000</v>
      </c>
      <c r="K9228" t="e">
        <f>VLOOKUP(B9228,'REGISTRO ABONOS'!$B$8:$BC$10012,54,0)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9"/>
        <v>105000</v>
      </c>
      <c r="K9229" t="e">
        <f>VLOOKUP(B9229,'REGISTRO ABONOS'!$B$8:$BC$10012,54,0)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9"/>
        <v>105000</v>
      </c>
      <c r="K9230" t="e">
        <f>VLOOKUP(B9230,'REGISTRO ABONOS'!$B$8:$BC$10012,54,0)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9"/>
        <v>105000</v>
      </c>
      <c r="K9231" t="e">
        <f>VLOOKUP(B9231,'REGISTRO ABONOS'!$B$8:$BC$10012,54,0)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9"/>
        <v>105000</v>
      </c>
      <c r="K9232" t="e">
        <f>VLOOKUP(B9232,'REGISTRO ABONOS'!$B$8:$BC$10012,54,0)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9"/>
        <v>105000</v>
      </c>
      <c r="K9233" t="e">
        <f>VLOOKUP(B9233,'REGISTRO ABONOS'!$B$8:$BC$10012,54,0)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9"/>
        <v>105000</v>
      </c>
      <c r="K9234" t="e">
        <f>VLOOKUP(B9234,'REGISTRO ABONOS'!$B$8:$BC$10012,54,0)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9"/>
        <v>105000</v>
      </c>
      <c r="K9235" t="e">
        <f>VLOOKUP(B9235,'REGISTRO ABONOS'!$B$8:$BC$10012,54,0)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9"/>
        <v>105000</v>
      </c>
      <c r="K9236" t="e">
        <f>VLOOKUP(B9236,'REGISTRO ABONOS'!$B$8:$BC$10012,54,0)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9"/>
        <v>105000</v>
      </c>
      <c r="K9237" t="e">
        <f>VLOOKUP(B9237,'REGISTRO ABONOS'!$B$8:$BC$10012,54,0)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9"/>
        <v>105000</v>
      </c>
      <c r="K9238" t="e">
        <f>VLOOKUP(B9238,'REGISTRO ABONOS'!$B$8:$BC$10012,54,0)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9"/>
        <v>105000</v>
      </c>
      <c r="K9239" t="e">
        <f>VLOOKUP(B9239,'REGISTRO ABONOS'!$B$8:$BC$10012,54,0)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9"/>
        <v>105000</v>
      </c>
      <c r="K9240" t="e">
        <f>VLOOKUP(B9240,'REGISTRO ABONOS'!$B$8:$BC$10012,54,0)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9"/>
        <v>105000</v>
      </c>
      <c r="K9241" t="e">
        <f>VLOOKUP(B9241,'REGISTRO ABONOS'!$B$8:$BC$10012,54,0)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9"/>
        <v>105000</v>
      </c>
      <c r="K9242" t="e">
        <f>VLOOKUP(B9242,'REGISTRO ABONOS'!$B$8:$BC$10012,54,0)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9"/>
        <v>105000</v>
      </c>
      <c r="K9243" t="e">
        <f>VLOOKUP(B9243,'REGISTRO ABONOS'!$B$8:$BC$10012,54,0)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9"/>
        <v>105000</v>
      </c>
      <c r="K9244" t="e">
        <f>VLOOKUP(B9244,'REGISTRO ABONOS'!$B$8:$BC$10012,54,0)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9"/>
        <v>105000</v>
      </c>
      <c r="K9245" t="e">
        <f>VLOOKUP(B9245,'REGISTRO ABONOS'!$B$8:$BC$10012,54,0)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9"/>
        <v>105000</v>
      </c>
      <c r="K9246" t="e">
        <f>VLOOKUP(B9246,'REGISTRO ABONOS'!$B$8:$BC$10012,54,0)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9"/>
        <v>105000</v>
      </c>
      <c r="K9247" t="e">
        <f>VLOOKUP(B9247,'REGISTRO ABONOS'!$B$8:$BC$10012,54,0)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9"/>
        <v>105000</v>
      </c>
      <c r="K9248" t="e">
        <f>VLOOKUP(B9248,'REGISTRO ABONOS'!$B$8:$BC$10012,54,0)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9"/>
        <v>105000</v>
      </c>
      <c r="K9249" t="e">
        <f>VLOOKUP(B9249,'REGISTRO ABONOS'!$B$8:$BC$10012,54,0)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9"/>
        <v>105000</v>
      </c>
      <c r="K9250" t="e">
        <f>VLOOKUP(B9250,'REGISTRO ABONOS'!$B$8:$BC$10012,54,0)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9"/>
        <v>105000</v>
      </c>
      <c r="K9251" t="e">
        <f>VLOOKUP(B9251,'REGISTRO ABONOS'!$B$8:$BC$10012,54,0)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9"/>
        <v>105000</v>
      </c>
      <c r="K9252" t="e">
        <f>VLOOKUP(B9252,'REGISTRO ABONOS'!$B$8:$BC$10012,54,0)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9"/>
        <v>105000</v>
      </c>
      <c r="K9253" t="e">
        <f>VLOOKUP(B9253,'REGISTRO ABONOS'!$B$8:$BC$10012,54,0)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9"/>
        <v>105000</v>
      </c>
      <c r="K9254" t="e">
        <f>VLOOKUP(B9254,'REGISTRO ABONOS'!$B$8:$BC$10012,54,0)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9"/>
        <v>105000</v>
      </c>
      <c r="K9255" t="e">
        <f>VLOOKUP(B9255,'REGISTRO ABONOS'!$B$8:$BC$10012,54,0)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9"/>
        <v>105000</v>
      </c>
      <c r="K9256" t="e">
        <f>VLOOKUP(B9256,'REGISTRO ABONOS'!$B$8:$BC$10012,54,0)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9"/>
        <v>105000</v>
      </c>
      <c r="K9257" t="e">
        <f>VLOOKUP(B9257,'REGISTRO ABONOS'!$B$8:$BC$10012,54,0)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si="149"/>
        <v>105000</v>
      </c>
      <c r="K9258" t="e">
        <f>VLOOKUP(B9258,'REGISTRO ABONOS'!$B$8:$BC$10012,54,0)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ABONOS'!$B$8:$BC$10012,54,0)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ABONOS'!$B$8:$BC$10012,54,0)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ABONOS'!$B$8:$BC$10012,54,0)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ABONOS'!$B$8:$BC$10012,54,0)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ABONOS'!$B$8:$BC$10012,54,0)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ref="J9264:J9327" si="150">IF(C9264&gt;43607,130000,105000)</f>
        <v>105000</v>
      </c>
      <c r="K9264" t="e">
        <f>VLOOKUP(B9264,'REGISTRO ABONOS'!$B$8:$BC$10012,54,0)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50"/>
        <v>105000</v>
      </c>
      <c r="K9265" t="e">
        <f>VLOOKUP(B9265,'REGISTRO ABONOS'!$B$8:$BC$10012,54,0)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50"/>
        <v>105000</v>
      </c>
      <c r="K9266" t="e">
        <f>VLOOKUP(B9266,'REGISTRO ABONOS'!$B$8:$BC$10012,54,0)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50"/>
        <v>105000</v>
      </c>
      <c r="K9267" t="e">
        <f>VLOOKUP(B9267,'REGISTRO ABONOS'!$B$8:$BC$10012,54,0)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50"/>
        <v>105000</v>
      </c>
      <c r="K9268" t="e">
        <f>VLOOKUP(B9268,'REGISTRO ABONOS'!$B$8:$BC$10012,54,0)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50"/>
        <v>105000</v>
      </c>
      <c r="K9269" t="e">
        <f>VLOOKUP(B9269,'REGISTRO ABONOS'!$B$8:$BC$10012,54,0)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50"/>
        <v>105000</v>
      </c>
      <c r="K9270" t="e">
        <f>VLOOKUP(B9270,'REGISTRO ABONOS'!$B$8:$BC$10012,54,0)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50"/>
        <v>105000</v>
      </c>
      <c r="K9271" t="e">
        <f>VLOOKUP(B9271,'REGISTRO ABONOS'!$B$8:$BC$10012,54,0)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50"/>
        <v>105000</v>
      </c>
      <c r="K9272" t="e">
        <f>VLOOKUP(B9272,'REGISTRO ABONOS'!$B$8:$BC$10012,54,0)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50"/>
        <v>105000</v>
      </c>
      <c r="K9273" t="e">
        <f>VLOOKUP(B9273,'REGISTRO ABONOS'!$B$8:$BC$10012,54,0)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50"/>
        <v>105000</v>
      </c>
      <c r="K9274" t="e">
        <f>VLOOKUP(B9274,'REGISTRO ABONOS'!$B$8:$BC$10012,54,0)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50"/>
        <v>105000</v>
      </c>
      <c r="K9275" t="e">
        <f>VLOOKUP(B9275,'REGISTRO ABONOS'!$B$8:$BC$10012,54,0)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50"/>
        <v>105000</v>
      </c>
      <c r="K9276" t="e">
        <f>VLOOKUP(B9276,'REGISTRO ABONOS'!$B$8:$BC$10012,54,0)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50"/>
        <v>105000</v>
      </c>
      <c r="K9277" t="e">
        <f>VLOOKUP(B9277,'REGISTRO ABONOS'!$B$8:$BC$10012,54,0)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50"/>
        <v>105000</v>
      </c>
      <c r="K9278" t="e">
        <f>VLOOKUP(B9278,'REGISTRO ABONOS'!$B$8:$BC$10012,54,0)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50"/>
        <v>105000</v>
      </c>
      <c r="K9279" t="e">
        <f>VLOOKUP(B9279,'REGISTRO ABONOS'!$B$8:$BC$10012,54,0)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50"/>
        <v>105000</v>
      </c>
      <c r="K9280" t="e">
        <f>VLOOKUP(B9280,'REGISTRO ABONOS'!$B$8:$BC$10012,54,0)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50"/>
        <v>105000</v>
      </c>
      <c r="K9281" t="e">
        <f>VLOOKUP(B9281,'REGISTRO ABONOS'!$B$8:$BC$10012,54,0)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50"/>
        <v>105000</v>
      </c>
      <c r="K9282" t="e">
        <f>VLOOKUP(B9282,'REGISTRO ABONOS'!$B$8:$BC$10012,54,0)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50"/>
        <v>105000</v>
      </c>
      <c r="K9283" t="e">
        <f>VLOOKUP(B9283,'REGISTRO ABONOS'!$B$8:$BC$10012,54,0)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50"/>
        <v>105000</v>
      </c>
      <c r="K9284" t="e">
        <f>VLOOKUP(B9284,'REGISTRO ABONOS'!$B$8:$BC$10012,54,0)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50"/>
        <v>105000</v>
      </c>
      <c r="K9285" t="e">
        <f>VLOOKUP(B9285,'REGISTRO ABONOS'!$B$8:$BC$10012,54,0)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50"/>
        <v>105000</v>
      </c>
      <c r="K9286" t="e">
        <f>VLOOKUP(B9286,'REGISTRO ABONOS'!$B$8:$BC$10012,54,0)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50"/>
        <v>105000</v>
      </c>
      <c r="K9287" t="e">
        <f>VLOOKUP(B9287,'REGISTRO ABONOS'!$B$8:$BC$10012,54,0)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50"/>
        <v>105000</v>
      </c>
      <c r="K9288" t="e">
        <f>VLOOKUP(B9288,'REGISTRO ABONOS'!$B$8:$BC$10012,54,0)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50"/>
        <v>105000</v>
      </c>
      <c r="K9289" t="e">
        <f>VLOOKUP(B9289,'REGISTRO ABONOS'!$B$8:$BC$10012,54,0)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50"/>
        <v>105000</v>
      </c>
      <c r="K9290" t="e">
        <f>VLOOKUP(B9290,'REGISTRO ABONOS'!$B$8:$BC$10012,54,0)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50"/>
        <v>105000</v>
      </c>
      <c r="K9291" t="e">
        <f>VLOOKUP(B9291,'REGISTRO ABONOS'!$B$8:$BC$10012,54,0)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50"/>
        <v>105000</v>
      </c>
      <c r="K9292" t="e">
        <f>VLOOKUP(B9292,'REGISTRO ABONOS'!$B$8:$BC$10012,54,0)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50"/>
        <v>105000</v>
      </c>
      <c r="K9293" t="e">
        <f>VLOOKUP(B9293,'REGISTRO ABONOS'!$B$8:$BC$10012,54,0)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50"/>
        <v>105000</v>
      </c>
      <c r="K9294" t="e">
        <f>VLOOKUP(B9294,'REGISTRO ABONOS'!$B$8:$BC$10012,54,0)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50"/>
        <v>105000</v>
      </c>
      <c r="K9295" t="e">
        <f>VLOOKUP(B9295,'REGISTRO ABONOS'!$B$8:$BC$10012,54,0)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50"/>
        <v>105000</v>
      </c>
      <c r="K9296" t="e">
        <f>VLOOKUP(B9296,'REGISTRO ABONOS'!$B$8:$BC$10012,54,0)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50"/>
        <v>105000</v>
      </c>
      <c r="K9297" t="e">
        <f>VLOOKUP(B9297,'REGISTRO ABONOS'!$B$8:$BC$10012,54,0)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50"/>
        <v>105000</v>
      </c>
      <c r="K9298" t="e">
        <f>VLOOKUP(B9298,'REGISTRO ABONOS'!$B$8:$BC$10012,54,0)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50"/>
        <v>105000</v>
      </c>
      <c r="K9299" t="e">
        <f>VLOOKUP(B9299,'REGISTRO ABONOS'!$B$8:$BC$10012,54,0)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50"/>
        <v>105000</v>
      </c>
      <c r="K9300" t="e">
        <f>VLOOKUP(B9300,'REGISTRO ABONOS'!$B$8:$BC$10012,54,0)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50"/>
        <v>105000</v>
      </c>
      <c r="K9301" t="e">
        <f>VLOOKUP(B9301,'REGISTRO ABONOS'!$B$8:$BC$10012,54,0)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50"/>
        <v>105000</v>
      </c>
      <c r="K9302" t="e">
        <f>VLOOKUP(B9302,'REGISTRO ABONOS'!$B$8:$BC$10012,54,0)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50"/>
        <v>105000</v>
      </c>
      <c r="K9303" t="e">
        <f>VLOOKUP(B9303,'REGISTRO ABONOS'!$B$8:$BC$10012,54,0)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50"/>
        <v>105000</v>
      </c>
      <c r="K9304" t="e">
        <f>VLOOKUP(B9304,'REGISTRO ABONOS'!$B$8:$BC$10012,54,0)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50"/>
        <v>105000</v>
      </c>
      <c r="K9305" t="e">
        <f>VLOOKUP(B9305,'REGISTRO ABONOS'!$B$8:$BC$10012,54,0)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50"/>
        <v>105000</v>
      </c>
      <c r="K9306" t="e">
        <f>VLOOKUP(B9306,'REGISTRO ABONOS'!$B$8:$BC$10012,54,0)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50"/>
        <v>105000</v>
      </c>
      <c r="K9307" t="e">
        <f>VLOOKUP(B9307,'REGISTRO ABONOS'!$B$8:$BC$10012,54,0)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50"/>
        <v>105000</v>
      </c>
      <c r="K9308" t="e">
        <f>VLOOKUP(B9308,'REGISTRO ABONOS'!$B$8:$BC$10012,54,0)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50"/>
        <v>105000</v>
      </c>
      <c r="K9309" t="e">
        <f>VLOOKUP(B9309,'REGISTRO ABONOS'!$B$8:$BC$10012,54,0)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50"/>
        <v>105000</v>
      </c>
      <c r="K9310" t="e">
        <f>VLOOKUP(B9310,'REGISTRO ABONOS'!$B$8:$BC$10012,54,0)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50"/>
        <v>105000</v>
      </c>
      <c r="K9311" t="e">
        <f>VLOOKUP(B9311,'REGISTRO ABONOS'!$B$8:$BC$10012,54,0)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50"/>
        <v>105000</v>
      </c>
      <c r="K9312" t="e">
        <f>VLOOKUP(B9312,'REGISTRO ABONOS'!$B$8:$BC$10012,54,0)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50"/>
        <v>105000</v>
      </c>
      <c r="K9313" t="e">
        <f>VLOOKUP(B9313,'REGISTRO ABONOS'!$B$8:$BC$10012,54,0)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50"/>
        <v>105000</v>
      </c>
      <c r="K9314" t="e">
        <f>VLOOKUP(B9314,'REGISTRO ABONOS'!$B$8:$BC$10012,54,0)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50"/>
        <v>105000</v>
      </c>
      <c r="K9315" t="e">
        <f>VLOOKUP(B9315,'REGISTRO ABONOS'!$B$8:$BC$10012,54,0)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50"/>
        <v>105000</v>
      </c>
      <c r="K9316" t="e">
        <f>VLOOKUP(B9316,'REGISTRO ABONOS'!$B$8:$BC$10012,54,0)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50"/>
        <v>105000</v>
      </c>
      <c r="K9317" t="e">
        <f>VLOOKUP(B9317,'REGISTRO ABONOS'!$B$8:$BC$10012,54,0)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50"/>
        <v>105000</v>
      </c>
      <c r="K9318" t="e">
        <f>VLOOKUP(B9318,'REGISTRO ABONOS'!$B$8:$BC$10012,54,0)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50"/>
        <v>105000</v>
      </c>
      <c r="K9319" t="e">
        <f>VLOOKUP(B9319,'REGISTRO ABONOS'!$B$8:$BC$10012,54,0)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50"/>
        <v>105000</v>
      </c>
      <c r="K9320" t="e">
        <f>VLOOKUP(B9320,'REGISTRO ABONOS'!$B$8:$BC$10012,54,0)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50"/>
        <v>105000</v>
      </c>
      <c r="K9321" t="e">
        <f>VLOOKUP(B9321,'REGISTRO ABONOS'!$B$8:$BC$10012,54,0)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si="150"/>
        <v>105000</v>
      </c>
      <c r="K9322" t="e">
        <f>VLOOKUP(B9322,'REGISTRO ABONOS'!$B$8:$BC$10012,54,0)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ABONOS'!$B$8:$BC$10012,54,0)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ABONOS'!$B$8:$BC$10012,54,0)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ABONOS'!$B$8:$BC$10012,54,0)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ABONOS'!$B$8:$BC$10012,54,0)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ABONOS'!$B$8:$BC$10012,54,0)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ref="J9328:J9391" si="151">IF(C9328&gt;43607,130000,105000)</f>
        <v>105000</v>
      </c>
      <c r="K9328" t="e">
        <f>VLOOKUP(B9328,'REGISTRO ABONOS'!$B$8:$BC$10012,54,0)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1"/>
        <v>105000</v>
      </c>
      <c r="K9329" t="e">
        <f>VLOOKUP(B9329,'REGISTRO ABONOS'!$B$8:$BC$10012,54,0)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1"/>
        <v>105000</v>
      </c>
      <c r="K9330" t="e">
        <f>VLOOKUP(B9330,'REGISTRO ABONOS'!$B$8:$BC$10012,54,0)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1"/>
        <v>105000</v>
      </c>
      <c r="K9331" t="e">
        <f>VLOOKUP(B9331,'REGISTRO ABONOS'!$B$8:$BC$10012,54,0)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1"/>
        <v>105000</v>
      </c>
      <c r="K9332" t="e">
        <f>VLOOKUP(B9332,'REGISTRO ABONOS'!$B$8:$BC$10012,54,0)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1"/>
        <v>105000</v>
      </c>
      <c r="K9333" t="e">
        <f>VLOOKUP(B9333,'REGISTRO ABONOS'!$B$8:$BC$10012,54,0)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1"/>
        <v>105000</v>
      </c>
      <c r="K9334" t="e">
        <f>VLOOKUP(B9334,'REGISTRO ABONOS'!$B$8:$BC$10012,54,0)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1"/>
        <v>105000</v>
      </c>
      <c r="K9335" t="e">
        <f>VLOOKUP(B9335,'REGISTRO ABONOS'!$B$8:$BC$10012,54,0)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1"/>
        <v>105000</v>
      </c>
      <c r="K9336" t="e">
        <f>VLOOKUP(B9336,'REGISTRO ABONOS'!$B$8:$BC$10012,54,0)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1"/>
        <v>105000</v>
      </c>
      <c r="K9337" t="e">
        <f>VLOOKUP(B9337,'REGISTRO ABONOS'!$B$8:$BC$10012,54,0)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1"/>
        <v>105000</v>
      </c>
      <c r="K9338" t="e">
        <f>VLOOKUP(B9338,'REGISTRO ABONOS'!$B$8:$BC$10012,54,0)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1"/>
        <v>105000</v>
      </c>
      <c r="K9339" t="e">
        <f>VLOOKUP(B9339,'REGISTRO ABONOS'!$B$8:$BC$10012,54,0)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1"/>
        <v>105000</v>
      </c>
      <c r="K9340" t="e">
        <f>VLOOKUP(B9340,'REGISTRO ABONOS'!$B$8:$BC$10012,54,0)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1"/>
        <v>105000</v>
      </c>
      <c r="K9341" t="e">
        <f>VLOOKUP(B9341,'REGISTRO ABONOS'!$B$8:$BC$10012,54,0)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1"/>
        <v>105000</v>
      </c>
      <c r="K9342" t="e">
        <f>VLOOKUP(B9342,'REGISTRO ABONOS'!$B$8:$BC$10012,54,0)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1"/>
        <v>105000</v>
      </c>
      <c r="K9343" t="e">
        <f>VLOOKUP(B9343,'REGISTRO ABONOS'!$B$8:$BC$10012,54,0)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1"/>
        <v>105000</v>
      </c>
      <c r="K9344" t="e">
        <f>VLOOKUP(B9344,'REGISTRO ABONOS'!$B$8:$BC$10012,54,0)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1"/>
        <v>105000</v>
      </c>
      <c r="K9345" t="e">
        <f>VLOOKUP(B9345,'REGISTRO ABONOS'!$B$8:$BC$10012,54,0)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1"/>
        <v>105000</v>
      </c>
      <c r="K9346" t="e">
        <f>VLOOKUP(B9346,'REGISTRO ABONOS'!$B$8:$BC$10012,54,0)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1"/>
        <v>105000</v>
      </c>
      <c r="K9347" t="e">
        <f>VLOOKUP(B9347,'REGISTRO ABONOS'!$B$8:$BC$10012,54,0)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1"/>
        <v>105000</v>
      </c>
      <c r="K9348" t="e">
        <f>VLOOKUP(B9348,'REGISTRO ABONOS'!$B$8:$BC$10012,54,0)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1"/>
        <v>105000</v>
      </c>
      <c r="K9349" t="e">
        <f>VLOOKUP(B9349,'REGISTRO ABONOS'!$B$8:$BC$10012,54,0)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1"/>
        <v>105000</v>
      </c>
      <c r="K9350" t="e">
        <f>VLOOKUP(B9350,'REGISTRO ABONOS'!$B$8:$BC$10012,54,0)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1"/>
        <v>105000</v>
      </c>
      <c r="K9351" t="e">
        <f>VLOOKUP(B9351,'REGISTRO ABONOS'!$B$8:$BC$10012,54,0)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1"/>
        <v>105000</v>
      </c>
      <c r="K9352" t="e">
        <f>VLOOKUP(B9352,'REGISTRO ABONOS'!$B$8:$BC$10012,54,0)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1"/>
        <v>105000</v>
      </c>
      <c r="K9353" t="e">
        <f>VLOOKUP(B9353,'REGISTRO ABONOS'!$B$8:$BC$10012,54,0)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1"/>
        <v>105000</v>
      </c>
      <c r="K9354" t="e">
        <f>VLOOKUP(B9354,'REGISTRO ABONOS'!$B$8:$BC$10012,54,0)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1"/>
        <v>105000</v>
      </c>
      <c r="K9355" t="e">
        <f>VLOOKUP(B9355,'REGISTRO ABONOS'!$B$8:$BC$10012,54,0)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1"/>
        <v>105000</v>
      </c>
      <c r="K9356" t="e">
        <f>VLOOKUP(B9356,'REGISTRO ABONOS'!$B$8:$BC$10012,54,0)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1"/>
        <v>105000</v>
      </c>
      <c r="K9357" t="e">
        <f>VLOOKUP(B9357,'REGISTRO ABONOS'!$B$8:$BC$10012,54,0)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1"/>
        <v>105000</v>
      </c>
      <c r="K9358" t="e">
        <f>VLOOKUP(B9358,'REGISTRO ABONOS'!$B$8:$BC$10012,54,0)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1"/>
        <v>105000</v>
      </c>
      <c r="K9359" t="e">
        <f>VLOOKUP(B9359,'REGISTRO ABONOS'!$B$8:$BC$10012,54,0)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1"/>
        <v>105000</v>
      </c>
      <c r="K9360" t="e">
        <f>VLOOKUP(B9360,'REGISTRO ABONOS'!$B$8:$BC$10012,54,0)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1"/>
        <v>105000</v>
      </c>
      <c r="K9361" t="e">
        <f>VLOOKUP(B9361,'REGISTRO ABONOS'!$B$8:$BC$10012,54,0)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1"/>
        <v>105000</v>
      </c>
      <c r="K9362" t="e">
        <f>VLOOKUP(B9362,'REGISTRO ABONOS'!$B$8:$BC$10012,54,0)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1"/>
        <v>105000</v>
      </c>
      <c r="K9363" t="e">
        <f>VLOOKUP(B9363,'REGISTRO ABONOS'!$B$8:$BC$10012,54,0)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1"/>
        <v>105000</v>
      </c>
      <c r="K9364" t="e">
        <f>VLOOKUP(B9364,'REGISTRO ABONOS'!$B$8:$BC$10012,54,0)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1"/>
        <v>105000</v>
      </c>
      <c r="K9365" t="e">
        <f>VLOOKUP(B9365,'REGISTRO ABONOS'!$B$8:$BC$10012,54,0)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1"/>
        <v>105000</v>
      </c>
      <c r="K9366" t="e">
        <f>VLOOKUP(B9366,'REGISTRO ABONOS'!$B$8:$BC$10012,54,0)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1"/>
        <v>105000</v>
      </c>
      <c r="K9367" t="e">
        <f>VLOOKUP(B9367,'REGISTRO ABONOS'!$B$8:$BC$10012,54,0)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1"/>
        <v>105000</v>
      </c>
      <c r="K9368" t="e">
        <f>VLOOKUP(B9368,'REGISTRO ABONOS'!$B$8:$BC$10012,54,0)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1"/>
        <v>105000</v>
      </c>
      <c r="K9369" t="e">
        <f>VLOOKUP(B9369,'REGISTRO ABONOS'!$B$8:$BC$10012,54,0)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1"/>
        <v>105000</v>
      </c>
      <c r="K9370" t="e">
        <f>VLOOKUP(B9370,'REGISTRO ABONOS'!$B$8:$BC$10012,54,0)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1"/>
        <v>105000</v>
      </c>
      <c r="K9371" t="e">
        <f>VLOOKUP(B9371,'REGISTRO ABONOS'!$B$8:$BC$10012,54,0)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1"/>
        <v>105000</v>
      </c>
      <c r="K9372" t="e">
        <f>VLOOKUP(B9372,'REGISTRO ABONOS'!$B$8:$BC$10012,54,0)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1"/>
        <v>105000</v>
      </c>
      <c r="K9373" t="e">
        <f>VLOOKUP(B9373,'REGISTRO ABONOS'!$B$8:$BC$10012,54,0)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1"/>
        <v>105000</v>
      </c>
      <c r="K9374" t="e">
        <f>VLOOKUP(B9374,'REGISTRO ABONOS'!$B$8:$BC$10012,54,0)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1"/>
        <v>105000</v>
      </c>
      <c r="K9375" t="e">
        <f>VLOOKUP(B9375,'REGISTRO ABONOS'!$B$8:$BC$10012,54,0)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1"/>
        <v>105000</v>
      </c>
      <c r="K9376" t="e">
        <f>VLOOKUP(B9376,'REGISTRO ABONOS'!$B$8:$BC$10012,54,0)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1"/>
        <v>105000</v>
      </c>
      <c r="K9377" t="e">
        <f>VLOOKUP(B9377,'REGISTRO ABONOS'!$B$8:$BC$10012,54,0)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1"/>
        <v>105000</v>
      </c>
      <c r="K9378" t="e">
        <f>VLOOKUP(B9378,'REGISTRO ABONOS'!$B$8:$BC$10012,54,0)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1"/>
        <v>105000</v>
      </c>
      <c r="K9379" t="e">
        <f>VLOOKUP(B9379,'REGISTRO ABONOS'!$B$8:$BC$10012,54,0)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1"/>
        <v>105000</v>
      </c>
      <c r="K9380" t="e">
        <f>VLOOKUP(B9380,'REGISTRO ABONOS'!$B$8:$BC$10012,54,0)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1"/>
        <v>105000</v>
      </c>
      <c r="K9381" t="e">
        <f>VLOOKUP(B9381,'REGISTRO ABONOS'!$B$8:$BC$10012,54,0)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1"/>
        <v>105000</v>
      </c>
      <c r="K9382" t="e">
        <f>VLOOKUP(B9382,'REGISTRO ABONOS'!$B$8:$BC$10012,54,0)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1"/>
        <v>105000</v>
      </c>
      <c r="K9383" t="e">
        <f>VLOOKUP(B9383,'REGISTRO ABONOS'!$B$8:$BC$10012,54,0)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1"/>
        <v>105000</v>
      </c>
      <c r="K9384" t="e">
        <f>VLOOKUP(B9384,'REGISTRO ABONOS'!$B$8:$BC$10012,54,0)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1"/>
        <v>105000</v>
      </c>
      <c r="K9385" t="e">
        <f>VLOOKUP(B9385,'REGISTRO ABONOS'!$B$8:$BC$10012,54,0)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si="151"/>
        <v>105000</v>
      </c>
      <c r="K9386" t="e">
        <f>VLOOKUP(B9386,'REGISTRO ABONOS'!$B$8:$BC$10012,54,0)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ABONOS'!$B$8:$BC$10012,54,0)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ABONOS'!$B$8:$BC$10012,54,0)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ABONOS'!$B$8:$BC$10012,54,0)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ABONOS'!$B$8:$BC$10012,54,0)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ABONOS'!$B$8:$BC$10012,54,0)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ref="J9392:J9455" si="152">IF(C9392&gt;43607,130000,105000)</f>
        <v>105000</v>
      </c>
      <c r="K9392" t="e">
        <f>VLOOKUP(B9392,'REGISTRO ABONOS'!$B$8:$BC$10012,54,0)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2"/>
        <v>105000</v>
      </c>
      <c r="K9393" t="e">
        <f>VLOOKUP(B9393,'REGISTRO ABONOS'!$B$8:$BC$10012,54,0)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2"/>
        <v>105000</v>
      </c>
      <c r="K9394" t="e">
        <f>VLOOKUP(B9394,'REGISTRO ABONOS'!$B$8:$BC$10012,54,0)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2"/>
        <v>105000</v>
      </c>
      <c r="K9395" t="e">
        <f>VLOOKUP(B9395,'REGISTRO ABONOS'!$B$8:$BC$10012,54,0)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2"/>
        <v>105000</v>
      </c>
      <c r="K9396" t="e">
        <f>VLOOKUP(B9396,'REGISTRO ABONOS'!$B$8:$BC$10012,54,0)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2"/>
        <v>105000</v>
      </c>
      <c r="K9397" t="e">
        <f>VLOOKUP(B9397,'REGISTRO ABONOS'!$B$8:$BC$10012,54,0)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2"/>
        <v>105000</v>
      </c>
      <c r="K9398" t="e">
        <f>VLOOKUP(B9398,'REGISTRO ABONOS'!$B$8:$BC$10012,54,0)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2"/>
        <v>105000</v>
      </c>
      <c r="K9399" t="e">
        <f>VLOOKUP(B9399,'REGISTRO ABONOS'!$B$8:$BC$10012,54,0)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2"/>
        <v>105000</v>
      </c>
      <c r="K9400" t="e">
        <f>VLOOKUP(B9400,'REGISTRO ABONOS'!$B$8:$BC$10012,54,0)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2"/>
        <v>105000</v>
      </c>
      <c r="K9401" t="e">
        <f>VLOOKUP(B9401,'REGISTRO ABONOS'!$B$8:$BC$10012,54,0)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2"/>
        <v>105000</v>
      </c>
      <c r="K9402" t="e">
        <f>VLOOKUP(B9402,'REGISTRO ABONOS'!$B$8:$BC$10012,54,0)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2"/>
        <v>105000</v>
      </c>
      <c r="K9403" t="e">
        <f>VLOOKUP(B9403,'REGISTRO ABONOS'!$B$8:$BC$10012,54,0)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2"/>
        <v>105000</v>
      </c>
      <c r="K9404" t="e">
        <f>VLOOKUP(B9404,'REGISTRO ABONOS'!$B$8:$BC$10012,54,0)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2"/>
        <v>105000</v>
      </c>
      <c r="K9405" t="e">
        <f>VLOOKUP(B9405,'REGISTRO ABONOS'!$B$8:$BC$10012,54,0)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2"/>
        <v>105000</v>
      </c>
      <c r="K9406" t="e">
        <f>VLOOKUP(B9406,'REGISTRO ABONOS'!$B$8:$BC$10012,54,0)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2"/>
        <v>105000</v>
      </c>
      <c r="K9407" t="e">
        <f>VLOOKUP(B9407,'REGISTRO ABONOS'!$B$8:$BC$10012,54,0)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2"/>
        <v>105000</v>
      </c>
      <c r="K9408" t="e">
        <f>VLOOKUP(B9408,'REGISTRO ABONOS'!$B$8:$BC$10012,54,0)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2"/>
        <v>105000</v>
      </c>
      <c r="K9409" t="e">
        <f>VLOOKUP(B9409,'REGISTRO ABONOS'!$B$8:$BC$10012,54,0)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2"/>
        <v>105000</v>
      </c>
      <c r="K9410" t="e">
        <f>VLOOKUP(B9410,'REGISTRO ABONOS'!$B$8:$BC$10012,54,0)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2"/>
        <v>105000</v>
      </c>
      <c r="K9411" t="e">
        <f>VLOOKUP(B9411,'REGISTRO ABONOS'!$B$8:$BC$10012,54,0)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2"/>
        <v>105000</v>
      </c>
      <c r="K9412" t="e">
        <f>VLOOKUP(B9412,'REGISTRO ABONOS'!$B$8:$BC$10012,54,0)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2"/>
        <v>105000</v>
      </c>
      <c r="K9413" t="e">
        <f>VLOOKUP(B9413,'REGISTRO ABONOS'!$B$8:$BC$10012,54,0)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2"/>
        <v>105000</v>
      </c>
      <c r="K9414" t="e">
        <f>VLOOKUP(B9414,'REGISTRO ABONOS'!$B$8:$BC$10012,54,0)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2"/>
        <v>105000</v>
      </c>
      <c r="K9415" t="e">
        <f>VLOOKUP(B9415,'REGISTRO ABONOS'!$B$8:$BC$10012,54,0)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2"/>
        <v>105000</v>
      </c>
      <c r="K9416" t="e">
        <f>VLOOKUP(B9416,'REGISTRO ABONOS'!$B$8:$BC$10012,54,0)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2"/>
        <v>105000</v>
      </c>
      <c r="K9417" t="e">
        <f>VLOOKUP(B9417,'REGISTRO ABONOS'!$B$8:$BC$10012,54,0)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2"/>
        <v>105000</v>
      </c>
      <c r="K9418" t="e">
        <f>VLOOKUP(B9418,'REGISTRO ABONOS'!$B$8:$BC$10012,54,0)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2"/>
        <v>105000</v>
      </c>
      <c r="K9419" t="e">
        <f>VLOOKUP(B9419,'REGISTRO ABONOS'!$B$8:$BC$10012,54,0)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2"/>
        <v>105000</v>
      </c>
      <c r="K9420" t="e">
        <f>VLOOKUP(B9420,'REGISTRO ABONOS'!$B$8:$BC$10012,54,0)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2"/>
        <v>105000</v>
      </c>
      <c r="K9421" t="e">
        <f>VLOOKUP(B9421,'REGISTRO ABONOS'!$B$8:$BC$10012,54,0)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2"/>
        <v>105000</v>
      </c>
      <c r="K9422" t="e">
        <f>VLOOKUP(B9422,'REGISTRO ABONOS'!$B$8:$BC$10012,54,0)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2"/>
        <v>105000</v>
      </c>
      <c r="K9423" t="e">
        <f>VLOOKUP(B9423,'REGISTRO ABONOS'!$B$8:$BC$10012,54,0)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2"/>
        <v>105000</v>
      </c>
      <c r="K9424" t="e">
        <f>VLOOKUP(B9424,'REGISTRO ABONOS'!$B$8:$BC$10012,54,0)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2"/>
        <v>105000</v>
      </c>
      <c r="K9425" t="e">
        <f>VLOOKUP(B9425,'REGISTRO ABONOS'!$B$8:$BC$10012,54,0)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2"/>
        <v>105000</v>
      </c>
      <c r="K9426" t="e">
        <f>VLOOKUP(B9426,'REGISTRO ABONOS'!$B$8:$BC$10012,54,0)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2"/>
        <v>105000</v>
      </c>
      <c r="K9427" t="e">
        <f>VLOOKUP(B9427,'REGISTRO ABONOS'!$B$8:$BC$10012,54,0)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2"/>
        <v>105000</v>
      </c>
      <c r="K9428" t="e">
        <f>VLOOKUP(B9428,'REGISTRO ABONOS'!$B$8:$BC$10012,54,0)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2"/>
        <v>105000</v>
      </c>
      <c r="K9429" t="e">
        <f>VLOOKUP(B9429,'REGISTRO ABONOS'!$B$8:$BC$10012,54,0)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2"/>
        <v>105000</v>
      </c>
      <c r="K9430" t="e">
        <f>VLOOKUP(B9430,'REGISTRO ABONOS'!$B$8:$BC$10012,54,0)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2"/>
        <v>105000</v>
      </c>
      <c r="K9431" t="e">
        <f>VLOOKUP(B9431,'REGISTRO ABONOS'!$B$8:$BC$10012,54,0)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2"/>
        <v>105000</v>
      </c>
      <c r="K9432" t="e">
        <f>VLOOKUP(B9432,'REGISTRO ABONOS'!$B$8:$BC$10012,54,0)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2"/>
        <v>105000</v>
      </c>
      <c r="K9433" t="e">
        <f>VLOOKUP(B9433,'REGISTRO ABONOS'!$B$8:$BC$10012,54,0)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2"/>
        <v>105000</v>
      </c>
      <c r="K9434" t="e">
        <f>VLOOKUP(B9434,'REGISTRO ABONOS'!$B$8:$BC$10012,54,0)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2"/>
        <v>105000</v>
      </c>
      <c r="K9435" t="e">
        <f>VLOOKUP(B9435,'REGISTRO ABONOS'!$B$8:$BC$10012,54,0)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2"/>
        <v>105000</v>
      </c>
      <c r="K9436" t="e">
        <f>VLOOKUP(B9436,'REGISTRO ABONOS'!$B$8:$BC$10012,54,0)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2"/>
        <v>105000</v>
      </c>
      <c r="K9437" t="e">
        <f>VLOOKUP(B9437,'REGISTRO ABONOS'!$B$8:$BC$10012,54,0)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2"/>
        <v>105000</v>
      </c>
      <c r="K9438" t="e">
        <f>VLOOKUP(B9438,'REGISTRO ABONOS'!$B$8:$BC$10012,54,0)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2"/>
        <v>105000</v>
      </c>
      <c r="K9439" t="e">
        <f>VLOOKUP(B9439,'REGISTRO ABONOS'!$B$8:$BC$10012,54,0)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2"/>
        <v>105000</v>
      </c>
      <c r="K9440" t="e">
        <f>VLOOKUP(B9440,'REGISTRO ABONOS'!$B$8:$BC$10012,54,0)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2"/>
        <v>105000</v>
      </c>
      <c r="K9441" t="e">
        <f>VLOOKUP(B9441,'REGISTRO ABONOS'!$B$8:$BC$10012,54,0)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2"/>
        <v>105000</v>
      </c>
      <c r="K9442" t="e">
        <f>VLOOKUP(B9442,'REGISTRO ABONOS'!$B$8:$BC$10012,54,0)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2"/>
        <v>105000</v>
      </c>
      <c r="K9443" t="e">
        <f>VLOOKUP(B9443,'REGISTRO ABONOS'!$B$8:$BC$10012,54,0)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2"/>
        <v>105000</v>
      </c>
      <c r="K9444" t="e">
        <f>VLOOKUP(B9444,'REGISTRO ABONOS'!$B$8:$BC$10012,54,0)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2"/>
        <v>105000</v>
      </c>
      <c r="K9445" t="e">
        <f>VLOOKUP(B9445,'REGISTRO ABONOS'!$B$8:$BC$10012,54,0)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2"/>
        <v>105000</v>
      </c>
      <c r="K9446" t="e">
        <f>VLOOKUP(B9446,'REGISTRO ABONOS'!$B$8:$BC$10012,54,0)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2"/>
        <v>105000</v>
      </c>
      <c r="K9447" t="e">
        <f>VLOOKUP(B9447,'REGISTRO ABONOS'!$B$8:$BC$10012,54,0)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2"/>
        <v>105000</v>
      </c>
      <c r="K9448" t="e">
        <f>VLOOKUP(B9448,'REGISTRO ABONOS'!$B$8:$BC$10012,54,0)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2"/>
        <v>105000</v>
      </c>
      <c r="K9449" t="e">
        <f>VLOOKUP(B9449,'REGISTRO ABONOS'!$B$8:$BC$10012,54,0)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si="152"/>
        <v>105000</v>
      </c>
      <c r="K9450" t="e">
        <f>VLOOKUP(B9450,'REGISTRO ABONOS'!$B$8:$BC$10012,54,0)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ABONOS'!$B$8:$BC$10012,54,0)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ABONOS'!$B$8:$BC$10012,54,0)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ABONOS'!$B$8:$BC$10012,54,0)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ABONOS'!$B$8:$BC$10012,54,0)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ABONOS'!$B$8:$BC$10012,54,0)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ref="J9456:J9519" si="153">IF(C9456&gt;43607,130000,105000)</f>
        <v>105000</v>
      </c>
      <c r="K9456" t="e">
        <f>VLOOKUP(B9456,'REGISTRO ABONOS'!$B$8:$BC$10012,54,0)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3"/>
        <v>105000</v>
      </c>
      <c r="K9457" t="e">
        <f>VLOOKUP(B9457,'REGISTRO ABONOS'!$B$8:$BC$10012,54,0)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3"/>
        <v>105000</v>
      </c>
      <c r="K9458" t="e">
        <f>VLOOKUP(B9458,'REGISTRO ABONOS'!$B$8:$BC$10012,54,0)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3"/>
        <v>105000</v>
      </c>
      <c r="K9459" t="e">
        <f>VLOOKUP(B9459,'REGISTRO ABONOS'!$B$8:$BC$10012,54,0)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3"/>
        <v>105000</v>
      </c>
      <c r="K9460" t="e">
        <f>VLOOKUP(B9460,'REGISTRO ABONOS'!$B$8:$BC$10012,54,0)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3"/>
        <v>105000</v>
      </c>
      <c r="K9461" t="e">
        <f>VLOOKUP(B9461,'REGISTRO ABONOS'!$B$8:$BC$10012,54,0)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3"/>
        <v>105000</v>
      </c>
      <c r="K9462" t="e">
        <f>VLOOKUP(B9462,'REGISTRO ABONOS'!$B$8:$BC$10012,54,0)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3"/>
        <v>105000</v>
      </c>
      <c r="K9463" t="e">
        <f>VLOOKUP(B9463,'REGISTRO ABONOS'!$B$8:$BC$10012,54,0)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3"/>
        <v>105000</v>
      </c>
      <c r="K9464" t="e">
        <f>VLOOKUP(B9464,'REGISTRO ABONOS'!$B$8:$BC$10012,54,0)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3"/>
        <v>105000</v>
      </c>
      <c r="K9465" t="e">
        <f>VLOOKUP(B9465,'REGISTRO ABONOS'!$B$8:$BC$10012,54,0)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3"/>
        <v>105000</v>
      </c>
      <c r="K9466" t="e">
        <f>VLOOKUP(B9466,'REGISTRO ABONOS'!$B$8:$BC$10012,54,0)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3"/>
        <v>105000</v>
      </c>
      <c r="K9467" t="e">
        <f>VLOOKUP(B9467,'REGISTRO ABONOS'!$B$8:$BC$10012,54,0)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3"/>
        <v>105000</v>
      </c>
      <c r="K9468" t="e">
        <f>VLOOKUP(B9468,'REGISTRO ABONOS'!$B$8:$BC$10012,54,0)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3"/>
        <v>105000</v>
      </c>
      <c r="K9469" t="e">
        <f>VLOOKUP(B9469,'REGISTRO ABONOS'!$B$8:$BC$10012,54,0)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3"/>
        <v>105000</v>
      </c>
      <c r="K9470" t="e">
        <f>VLOOKUP(B9470,'REGISTRO ABONOS'!$B$8:$BC$10012,54,0)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3"/>
        <v>105000</v>
      </c>
      <c r="K9471" t="e">
        <f>VLOOKUP(B9471,'REGISTRO ABONOS'!$B$8:$BC$10012,54,0)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3"/>
        <v>105000</v>
      </c>
      <c r="K9472" t="e">
        <f>VLOOKUP(B9472,'REGISTRO ABONOS'!$B$8:$BC$10012,54,0)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3"/>
        <v>105000</v>
      </c>
      <c r="K9473" t="e">
        <f>VLOOKUP(B9473,'REGISTRO ABONOS'!$B$8:$BC$10012,54,0)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3"/>
        <v>105000</v>
      </c>
      <c r="K9474" t="e">
        <f>VLOOKUP(B9474,'REGISTRO ABONOS'!$B$8:$BC$10012,54,0)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3"/>
        <v>105000</v>
      </c>
      <c r="K9475" t="e">
        <f>VLOOKUP(B9475,'REGISTRO ABONOS'!$B$8:$BC$10012,54,0)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3"/>
        <v>105000</v>
      </c>
      <c r="K9476" t="e">
        <f>VLOOKUP(B9476,'REGISTRO ABONOS'!$B$8:$BC$10012,54,0)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3"/>
        <v>105000</v>
      </c>
      <c r="K9477" t="e">
        <f>VLOOKUP(B9477,'REGISTRO ABONOS'!$B$8:$BC$10012,54,0)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3"/>
        <v>105000</v>
      </c>
      <c r="K9478" t="e">
        <f>VLOOKUP(B9478,'REGISTRO ABONOS'!$B$8:$BC$10012,54,0)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3"/>
        <v>105000</v>
      </c>
      <c r="K9479" t="e">
        <f>VLOOKUP(B9479,'REGISTRO ABONOS'!$B$8:$BC$10012,54,0)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3"/>
        <v>105000</v>
      </c>
      <c r="K9480" t="e">
        <f>VLOOKUP(B9480,'REGISTRO ABONOS'!$B$8:$BC$10012,54,0)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3"/>
        <v>105000</v>
      </c>
      <c r="K9481" t="e">
        <f>VLOOKUP(B9481,'REGISTRO ABONOS'!$B$8:$BC$10012,54,0)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3"/>
        <v>105000</v>
      </c>
      <c r="K9482" t="e">
        <f>VLOOKUP(B9482,'REGISTRO ABONOS'!$B$8:$BC$10012,54,0)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3"/>
        <v>105000</v>
      </c>
      <c r="K9483" t="e">
        <f>VLOOKUP(B9483,'REGISTRO ABONOS'!$B$8:$BC$10012,54,0)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3"/>
        <v>105000</v>
      </c>
      <c r="K9484" t="e">
        <f>VLOOKUP(B9484,'REGISTRO ABONOS'!$B$8:$BC$10012,54,0)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3"/>
        <v>105000</v>
      </c>
      <c r="K9485" t="e">
        <f>VLOOKUP(B9485,'REGISTRO ABONOS'!$B$8:$BC$10012,54,0)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3"/>
        <v>105000</v>
      </c>
      <c r="K9486" t="e">
        <f>VLOOKUP(B9486,'REGISTRO ABONOS'!$B$8:$BC$10012,54,0)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3"/>
        <v>105000</v>
      </c>
      <c r="K9487" t="e">
        <f>VLOOKUP(B9487,'REGISTRO ABONOS'!$B$8:$BC$10012,54,0)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3"/>
        <v>105000</v>
      </c>
      <c r="K9488" t="e">
        <f>VLOOKUP(B9488,'REGISTRO ABONOS'!$B$8:$BC$10012,54,0)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3"/>
        <v>105000</v>
      </c>
      <c r="K9489" t="e">
        <f>VLOOKUP(B9489,'REGISTRO ABONOS'!$B$8:$BC$10012,54,0)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3"/>
        <v>105000</v>
      </c>
      <c r="K9490" t="e">
        <f>VLOOKUP(B9490,'REGISTRO ABONOS'!$B$8:$BC$10012,54,0)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3"/>
        <v>105000</v>
      </c>
      <c r="K9491" t="e">
        <f>VLOOKUP(B9491,'REGISTRO ABONOS'!$B$8:$BC$10012,54,0)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3"/>
        <v>105000</v>
      </c>
      <c r="K9492" t="e">
        <f>VLOOKUP(B9492,'REGISTRO ABONOS'!$B$8:$BC$10012,54,0)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3"/>
        <v>105000</v>
      </c>
      <c r="K9493" t="e">
        <f>VLOOKUP(B9493,'REGISTRO ABONOS'!$B$8:$BC$10012,54,0)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3"/>
        <v>105000</v>
      </c>
      <c r="K9494" t="e">
        <f>VLOOKUP(B9494,'REGISTRO ABONOS'!$B$8:$BC$10012,54,0)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3"/>
        <v>105000</v>
      </c>
      <c r="K9495" t="e">
        <f>VLOOKUP(B9495,'REGISTRO ABONOS'!$B$8:$BC$10012,54,0)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3"/>
        <v>105000</v>
      </c>
      <c r="K9496" t="e">
        <f>VLOOKUP(B9496,'REGISTRO ABONOS'!$B$8:$BC$10012,54,0)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3"/>
        <v>105000</v>
      </c>
      <c r="K9497" t="e">
        <f>VLOOKUP(B9497,'REGISTRO ABONOS'!$B$8:$BC$10012,54,0)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3"/>
        <v>105000</v>
      </c>
      <c r="K9498" t="e">
        <f>VLOOKUP(B9498,'REGISTRO ABONOS'!$B$8:$BC$10012,54,0)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3"/>
        <v>105000</v>
      </c>
      <c r="K9499" t="e">
        <f>VLOOKUP(B9499,'REGISTRO ABONOS'!$B$8:$BC$10012,54,0)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3"/>
        <v>105000</v>
      </c>
      <c r="K9500" t="e">
        <f>VLOOKUP(B9500,'REGISTRO ABONOS'!$B$8:$BC$10012,54,0)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3"/>
        <v>105000</v>
      </c>
      <c r="K9501" t="e">
        <f>VLOOKUP(B9501,'REGISTRO ABONOS'!$B$8:$BC$10012,54,0)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3"/>
        <v>105000</v>
      </c>
      <c r="K9502" t="e">
        <f>VLOOKUP(B9502,'REGISTRO ABONOS'!$B$8:$BC$10012,54,0)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3"/>
        <v>105000</v>
      </c>
      <c r="K9503" t="e">
        <f>VLOOKUP(B9503,'REGISTRO ABONOS'!$B$8:$BC$10012,54,0)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3"/>
        <v>105000</v>
      </c>
      <c r="K9504" t="e">
        <f>VLOOKUP(B9504,'REGISTRO ABONOS'!$B$8:$BC$10012,54,0)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3"/>
        <v>105000</v>
      </c>
      <c r="K9505" t="e">
        <f>VLOOKUP(B9505,'REGISTRO ABONOS'!$B$8:$BC$10012,54,0)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3"/>
        <v>105000</v>
      </c>
      <c r="K9506" t="e">
        <f>VLOOKUP(B9506,'REGISTRO ABONOS'!$B$8:$BC$10012,54,0)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3"/>
        <v>105000</v>
      </c>
      <c r="K9507" t="e">
        <f>VLOOKUP(B9507,'REGISTRO ABONOS'!$B$8:$BC$10012,54,0)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3"/>
        <v>105000</v>
      </c>
      <c r="K9508" t="e">
        <f>VLOOKUP(B9508,'REGISTRO ABONOS'!$B$8:$BC$10012,54,0)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3"/>
        <v>105000</v>
      </c>
      <c r="K9509" t="e">
        <f>VLOOKUP(B9509,'REGISTRO ABONOS'!$B$8:$BC$10012,54,0)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3"/>
        <v>105000</v>
      </c>
      <c r="K9510" t="e">
        <f>VLOOKUP(B9510,'REGISTRO ABONOS'!$B$8:$BC$10012,54,0)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3"/>
        <v>105000</v>
      </c>
      <c r="K9511" t="e">
        <f>VLOOKUP(B9511,'REGISTRO ABONOS'!$B$8:$BC$10012,54,0)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3"/>
        <v>105000</v>
      </c>
      <c r="K9512" t="e">
        <f>VLOOKUP(B9512,'REGISTRO ABONOS'!$B$8:$BC$10012,54,0)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3"/>
        <v>105000</v>
      </c>
      <c r="K9513" t="e">
        <f>VLOOKUP(B9513,'REGISTRO ABONOS'!$B$8:$BC$10012,54,0)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si="153"/>
        <v>105000</v>
      </c>
      <c r="K9514" t="e">
        <f>VLOOKUP(B9514,'REGISTRO ABONOS'!$B$8:$BC$10012,54,0)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ABONOS'!$B$8:$BC$10012,54,0)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ABONOS'!$B$8:$BC$10012,54,0)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ABONOS'!$B$8:$BC$10012,54,0)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ABONOS'!$B$8:$BC$10012,54,0)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ABONOS'!$B$8:$BC$10012,54,0)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ref="J9520:J9583" si="154">IF(C9520&gt;43607,130000,105000)</f>
        <v>105000</v>
      </c>
      <c r="K9520" t="e">
        <f>VLOOKUP(B9520,'REGISTRO ABONOS'!$B$8:$BC$10012,54,0)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4"/>
        <v>105000</v>
      </c>
      <c r="K9521" t="e">
        <f>VLOOKUP(B9521,'REGISTRO ABONOS'!$B$8:$BC$10012,54,0)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4"/>
        <v>105000</v>
      </c>
      <c r="K9522" t="e">
        <f>VLOOKUP(B9522,'REGISTRO ABONOS'!$B$8:$BC$10012,54,0)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4"/>
        <v>105000</v>
      </c>
      <c r="K9523" t="e">
        <f>VLOOKUP(B9523,'REGISTRO ABONOS'!$B$8:$BC$10012,54,0)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4"/>
        <v>105000</v>
      </c>
      <c r="K9524" t="e">
        <f>VLOOKUP(B9524,'REGISTRO ABONOS'!$B$8:$BC$10012,54,0)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4"/>
        <v>105000</v>
      </c>
      <c r="K9525" t="e">
        <f>VLOOKUP(B9525,'REGISTRO ABONOS'!$B$8:$BC$10012,54,0)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4"/>
        <v>105000</v>
      </c>
      <c r="K9526" t="e">
        <f>VLOOKUP(B9526,'REGISTRO ABONOS'!$B$8:$BC$10012,54,0)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4"/>
        <v>105000</v>
      </c>
      <c r="K9527" t="e">
        <f>VLOOKUP(B9527,'REGISTRO ABONOS'!$B$8:$BC$10012,54,0)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4"/>
        <v>105000</v>
      </c>
      <c r="K9528" t="e">
        <f>VLOOKUP(B9528,'REGISTRO ABONOS'!$B$8:$BC$10012,54,0)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4"/>
        <v>105000</v>
      </c>
      <c r="K9529" t="e">
        <f>VLOOKUP(B9529,'REGISTRO ABONOS'!$B$8:$BC$10012,54,0)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4"/>
        <v>105000</v>
      </c>
      <c r="K9530" t="e">
        <f>VLOOKUP(B9530,'REGISTRO ABONOS'!$B$8:$BC$10012,54,0)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4"/>
        <v>105000</v>
      </c>
      <c r="K9531" t="e">
        <f>VLOOKUP(B9531,'REGISTRO ABONOS'!$B$8:$BC$10012,54,0)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4"/>
        <v>105000</v>
      </c>
      <c r="K9532" t="e">
        <f>VLOOKUP(B9532,'REGISTRO ABONOS'!$B$8:$BC$10012,54,0)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4"/>
        <v>105000</v>
      </c>
      <c r="K9533" t="e">
        <f>VLOOKUP(B9533,'REGISTRO ABONOS'!$B$8:$BC$10012,54,0)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4"/>
        <v>105000</v>
      </c>
      <c r="K9534" t="e">
        <f>VLOOKUP(B9534,'REGISTRO ABONOS'!$B$8:$BC$10012,54,0)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4"/>
        <v>105000</v>
      </c>
      <c r="K9535" t="e">
        <f>VLOOKUP(B9535,'REGISTRO ABONOS'!$B$8:$BC$10012,54,0)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4"/>
        <v>105000</v>
      </c>
      <c r="K9536" t="e">
        <f>VLOOKUP(B9536,'REGISTRO ABONOS'!$B$8:$BC$10012,54,0)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4"/>
        <v>105000</v>
      </c>
      <c r="K9537" t="e">
        <f>VLOOKUP(B9537,'REGISTRO ABONOS'!$B$8:$BC$10012,54,0)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4"/>
        <v>105000</v>
      </c>
      <c r="K9538" t="e">
        <f>VLOOKUP(B9538,'REGISTRO ABONOS'!$B$8:$BC$10012,54,0)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4"/>
        <v>105000</v>
      </c>
      <c r="K9539" t="e">
        <f>VLOOKUP(B9539,'REGISTRO ABONOS'!$B$8:$BC$10012,54,0)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4"/>
        <v>105000</v>
      </c>
      <c r="K9540" t="e">
        <f>VLOOKUP(B9540,'REGISTRO ABONOS'!$B$8:$BC$10012,54,0)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4"/>
        <v>105000</v>
      </c>
      <c r="K9541" t="e">
        <f>VLOOKUP(B9541,'REGISTRO ABONOS'!$B$8:$BC$10012,54,0)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4"/>
        <v>105000</v>
      </c>
      <c r="K9542" t="e">
        <f>VLOOKUP(B9542,'REGISTRO ABONOS'!$B$8:$BC$10012,54,0)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4"/>
        <v>105000</v>
      </c>
      <c r="K9543" t="e">
        <f>VLOOKUP(B9543,'REGISTRO ABONOS'!$B$8:$BC$10012,54,0)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J9544">
        <f t="shared" si="154"/>
        <v>105000</v>
      </c>
      <c r="K9544" t="e">
        <f>VLOOKUP(B9544,'REGISTRO ABONOS'!$B$8:$BC$10012,54,0)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4"/>
        <v>105000</v>
      </c>
      <c r="K9545" t="e">
        <f>VLOOKUP(B9545,'REGISTRO ABONOS'!$B$8:$BC$10012,54,0)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4"/>
        <v>105000</v>
      </c>
      <c r="K9546" t="e">
        <f>VLOOKUP(B9546,'REGISTRO ABONOS'!$B$8:$BC$10012,54,0)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4"/>
        <v>105000</v>
      </c>
      <c r="K9547" t="e">
        <f>VLOOKUP(B9547,'REGISTRO ABONOS'!$B$8:$BC$10012,54,0)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4"/>
        <v>105000</v>
      </c>
      <c r="K9548" t="e">
        <f>VLOOKUP(B9548,'REGISTRO ABONOS'!$B$8:$BC$10012,54,0)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4"/>
        <v>105000</v>
      </c>
      <c r="K9549" t="e">
        <f>VLOOKUP(B9549,'REGISTRO ABONOS'!$B$8:$BC$10012,54,0)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4"/>
        <v>105000</v>
      </c>
      <c r="K9550" t="e">
        <f>VLOOKUP(B9550,'REGISTRO ABONOS'!$B$8:$BC$10012,54,0)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4"/>
        <v>105000</v>
      </c>
      <c r="K9551" t="e">
        <f>VLOOKUP(B9551,'REGISTRO ABONOS'!$B$8:$BC$10012,54,0)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4"/>
        <v>105000</v>
      </c>
      <c r="K9552" t="e">
        <f>VLOOKUP(B9552,'REGISTRO ABONOS'!$B$8:$BC$10012,54,0)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4"/>
        <v>105000</v>
      </c>
      <c r="K9553" t="e">
        <f>VLOOKUP(B9553,'REGISTRO ABONOS'!$B$8:$BC$10012,54,0)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4"/>
        <v>105000</v>
      </c>
      <c r="K9554" t="e">
        <f>VLOOKUP(B9554,'REGISTRO ABONOS'!$B$8:$BC$10012,54,0)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4"/>
        <v>105000</v>
      </c>
      <c r="K9555" t="e">
        <f>VLOOKUP(B9555,'REGISTRO ABONOS'!$B$8:$BC$10012,54,0)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4"/>
        <v>105000</v>
      </c>
      <c r="K9556" t="e">
        <f>VLOOKUP(B9556,'REGISTRO ABONOS'!$B$8:$BC$10012,54,0)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4"/>
        <v>105000</v>
      </c>
      <c r="K9557" t="e">
        <f>VLOOKUP(B9557,'REGISTRO ABONOS'!$B$8:$BC$10012,54,0)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4"/>
        <v>105000</v>
      </c>
      <c r="K9558" t="e">
        <f>VLOOKUP(B9558,'REGISTRO ABONOS'!$B$8:$BC$10012,54,0)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4"/>
        <v>105000</v>
      </c>
      <c r="K9559" t="e">
        <f>VLOOKUP(B9559,'REGISTRO ABONOS'!$B$8:$BC$10012,54,0)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4"/>
        <v>105000</v>
      </c>
      <c r="K9560" t="e">
        <f>VLOOKUP(B9560,'REGISTRO ABONOS'!$B$8:$BC$10012,54,0)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4"/>
        <v>105000</v>
      </c>
      <c r="K9561" t="e">
        <f>VLOOKUP(B9561,'REGISTRO ABONOS'!$B$8:$BC$10012,54,0)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4"/>
        <v>105000</v>
      </c>
      <c r="K9562" t="e">
        <f>VLOOKUP(B9562,'REGISTRO ABONOS'!$B$8:$BC$10012,54,0)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4"/>
        <v>105000</v>
      </c>
      <c r="K9563" t="e">
        <f>VLOOKUP(B9563,'REGISTRO ABONOS'!$B$8:$BC$10012,54,0)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4"/>
        <v>105000</v>
      </c>
      <c r="K9564" t="e">
        <f>VLOOKUP(B9564,'REGISTRO ABONOS'!$B$8:$BC$10012,54,0)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4"/>
        <v>105000</v>
      </c>
      <c r="K9565" t="e">
        <f>VLOOKUP(B9565,'REGISTRO ABONOS'!$B$8:$BC$10012,54,0)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4"/>
        <v>105000</v>
      </c>
      <c r="K9566" t="e">
        <f>VLOOKUP(B9566,'REGISTRO ABONOS'!$B$8:$BC$10012,54,0)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4"/>
        <v>105000</v>
      </c>
      <c r="K9567" t="e">
        <f>VLOOKUP(B9567,'REGISTRO ABONOS'!$B$8:$BC$10012,54,0)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4"/>
        <v>105000</v>
      </c>
      <c r="K9568" t="e">
        <f>VLOOKUP(B9568,'REGISTRO ABONOS'!$B$8:$BC$10012,54,0)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J9569">
        <f t="shared" si="154"/>
        <v>105000</v>
      </c>
      <c r="K9569" t="e">
        <f>VLOOKUP(B9569,'REGISTRO ABONOS'!$B$8:$BC$10012,54,0)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4"/>
        <v>105000</v>
      </c>
      <c r="K9570" t="e">
        <f>VLOOKUP(B9570,'REGISTRO ABONOS'!$B$8:$BC$10012,54,0)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4"/>
        <v>105000</v>
      </c>
      <c r="K9571" t="e">
        <f>VLOOKUP(B9571,'REGISTRO ABONOS'!$B$8:$BC$10012,54,0)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4"/>
        <v>105000</v>
      </c>
      <c r="K9572" t="e">
        <f>VLOOKUP(B9572,'REGISTRO ABONOS'!$B$8:$BC$10012,54,0)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4"/>
        <v>105000</v>
      </c>
      <c r="K9573" t="e">
        <f>VLOOKUP(B9573,'REGISTRO ABONOS'!$B$8:$BC$10012,54,0)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4"/>
        <v>105000</v>
      </c>
      <c r="K9574" t="e">
        <f>VLOOKUP(B9574,'REGISTRO ABONOS'!$B$8:$BC$10012,54,0)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4"/>
        <v>105000</v>
      </c>
      <c r="K9575" t="e">
        <f>VLOOKUP(B9575,'REGISTRO ABONOS'!$B$8:$BC$10012,54,0)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4"/>
        <v>105000</v>
      </c>
      <c r="K9576" t="e">
        <f>VLOOKUP(B9576,'REGISTRO ABONOS'!$B$8:$BC$10012,54,0)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4"/>
        <v>105000</v>
      </c>
      <c r="K9577" t="e">
        <f>VLOOKUP(B9577,'REGISTRO ABONOS'!$B$8:$BC$10012,54,0)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si="154"/>
        <v>105000</v>
      </c>
      <c r="K9578" t="e">
        <f>VLOOKUP(B9578,'REGISTRO ABONOS'!$B$8:$BC$10012,54,0)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J9579">
        <f t="shared" si="154"/>
        <v>105000</v>
      </c>
      <c r="K9579" t="e">
        <f>VLOOKUP(B9579,'REGISTRO ABONOS'!$B$8:$BC$10012,54,0)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ABONOS'!$B$8:$BC$10012,54,0)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ABONOS'!$B$8:$BC$10012,54,0)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ABONOS'!$B$8:$BC$10012,54,0)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ABONOS'!$B$8:$BC$10012,54,0)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ref="J9584:J9647" si="155">IF(C9584&gt;43607,130000,105000)</f>
        <v>105000</v>
      </c>
      <c r="K9584" t="e">
        <f>VLOOKUP(B9584,'REGISTRO ABONOS'!$B$8:$BC$10012,54,0)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5"/>
        <v>105000</v>
      </c>
      <c r="K9585" t="e">
        <f>VLOOKUP(B9585,'REGISTRO ABONOS'!$B$8:$BC$10012,54,0)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5"/>
        <v>105000</v>
      </c>
      <c r="K9586" t="e">
        <f>VLOOKUP(B9586,'REGISTRO ABONOS'!$B$8:$BC$10012,54,0)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5"/>
        <v>105000</v>
      </c>
      <c r="K9587" t="e">
        <f>VLOOKUP(B9587,'REGISTRO ABONOS'!$B$8:$BC$10012,54,0)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5"/>
        <v>105000</v>
      </c>
      <c r="K9588" t="e">
        <f>VLOOKUP(B9588,'REGISTRO ABONOS'!$B$8:$BC$10012,54,0)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5"/>
        <v>105000</v>
      </c>
      <c r="K9589" t="e">
        <f>VLOOKUP(B9589,'REGISTRO ABONOS'!$B$8:$BC$10012,54,0)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5"/>
        <v>105000</v>
      </c>
      <c r="K9590" t="e">
        <f>VLOOKUP(B9590,'REGISTRO ABONOS'!$B$8:$BC$10012,54,0)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5"/>
        <v>105000</v>
      </c>
      <c r="K9591" t="e">
        <f>VLOOKUP(B9591,'REGISTRO ABONOS'!$B$8:$BC$10012,54,0)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5"/>
        <v>105000</v>
      </c>
      <c r="K9592" t="e">
        <f>VLOOKUP(B9592,'REGISTRO ABONOS'!$B$8:$BC$10012,54,0)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5"/>
        <v>105000</v>
      </c>
      <c r="K9593" t="e">
        <f>VLOOKUP(B9593,'REGISTRO ABONOS'!$B$8:$BC$10012,54,0)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5"/>
        <v>105000</v>
      </c>
      <c r="K9594" t="e">
        <f>VLOOKUP(B9594,'REGISTRO ABONOS'!$B$8:$BC$10012,54,0)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5"/>
        <v>105000</v>
      </c>
      <c r="K9595" t="e">
        <f>VLOOKUP(B9595,'REGISTRO ABONOS'!$B$8:$BC$10012,54,0)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5"/>
        <v>105000</v>
      </c>
      <c r="K9596" t="e">
        <f>VLOOKUP(B9596,'REGISTRO ABONOS'!$B$8:$BC$10012,54,0)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5"/>
        <v>105000</v>
      </c>
      <c r="K9597" t="e">
        <f>VLOOKUP(B9597,'REGISTRO ABONOS'!$B$8:$BC$10012,54,0)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5"/>
        <v>105000</v>
      </c>
      <c r="K9598" t="e">
        <f>VLOOKUP(B9598,'REGISTRO ABONOS'!$B$8:$BC$10012,54,0)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5"/>
        <v>105000</v>
      </c>
      <c r="K9599" t="e">
        <f>VLOOKUP(B9599,'REGISTRO ABONOS'!$B$8:$BC$10012,54,0)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5"/>
        <v>105000</v>
      </c>
      <c r="K9600" t="e">
        <f>VLOOKUP(B9600,'REGISTRO ABONOS'!$B$8:$BC$10012,54,0)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5"/>
        <v>105000</v>
      </c>
      <c r="K9601" t="e">
        <f>VLOOKUP(B9601,'REGISTRO ABONOS'!$B$8:$BC$10012,54,0)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5"/>
        <v>105000</v>
      </c>
      <c r="K9602" t="e">
        <f>VLOOKUP(B9602,'REGISTRO ABONOS'!$B$8:$BC$10012,54,0)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5"/>
        <v>105000</v>
      </c>
      <c r="K9603" t="e">
        <f>VLOOKUP(B9603,'REGISTRO ABONOS'!$B$8:$BC$10012,54,0)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5"/>
        <v>105000</v>
      </c>
      <c r="K9604" t="e">
        <f>VLOOKUP(B9604,'REGISTRO ABONOS'!$B$8:$BC$10012,54,0)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5"/>
        <v>105000</v>
      </c>
      <c r="K9605" t="e">
        <f>VLOOKUP(B9605,'REGISTRO ABONOS'!$B$8:$BC$10012,54,0)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5"/>
        <v>105000</v>
      </c>
      <c r="K9606" t="e">
        <f>VLOOKUP(B9606,'REGISTRO ABONOS'!$B$8:$BC$10012,54,0)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5"/>
        <v>105000</v>
      </c>
      <c r="K9607" t="e">
        <f>VLOOKUP(B9607,'REGISTRO ABONOS'!$B$8:$BC$10012,54,0)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5"/>
        <v>105000</v>
      </c>
      <c r="K9608" t="e">
        <f>VLOOKUP(B9608,'REGISTRO ABONOS'!$B$8:$BC$10012,54,0)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5"/>
        <v>105000</v>
      </c>
      <c r="K9609" t="e">
        <f>VLOOKUP(B9609,'REGISTRO ABONOS'!$B$8:$BC$10012,54,0)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5"/>
        <v>105000</v>
      </c>
      <c r="K9610" t="e">
        <f>VLOOKUP(B9610,'REGISTRO ABONOS'!$B$8:$BC$10012,54,0)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5"/>
        <v>105000</v>
      </c>
      <c r="K9611" t="e">
        <f>VLOOKUP(B9611,'REGISTRO ABONOS'!$B$8:$BC$10012,54,0)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5"/>
        <v>105000</v>
      </c>
      <c r="K9612" t="e">
        <f>VLOOKUP(B9612,'REGISTRO ABONOS'!$B$8:$BC$10012,54,0)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5"/>
        <v>105000</v>
      </c>
      <c r="K9613" t="e">
        <f>VLOOKUP(B9613,'REGISTRO ABONOS'!$B$8:$BC$10012,54,0)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5"/>
        <v>105000</v>
      </c>
      <c r="K9614" t="e">
        <f>VLOOKUP(B9614,'REGISTRO ABONOS'!$B$8:$BC$10012,54,0)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5"/>
        <v>105000</v>
      </c>
      <c r="K9615" t="e">
        <f>VLOOKUP(B9615,'REGISTRO ABONOS'!$B$8:$BC$10012,54,0)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5"/>
        <v>105000</v>
      </c>
      <c r="K9616" t="e">
        <f>VLOOKUP(B9616,'REGISTRO ABONOS'!$B$8:$BC$10012,54,0)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5"/>
        <v>105000</v>
      </c>
      <c r="K9617" t="e">
        <f>VLOOKUP(B9617,'REGISTRO ABONOS'!$B$8:$BC$10012,54,0)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5"/>
        <v>105000</v>
      </c>
      <c r="K9618" t="e">
        <f>VLOOKUP(B9618,'REGISTRO ABONOS'!$B$8:$BC$10012,54,0)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5"/>
        <v>105000</v>
      </c>
      <c r="K9619" t="e">
        <f>VLOOKUP(B9619,'REGISTRO ABONOS'!$B$8:$BC$10012,54,0)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5"/>
        <v>105000</v>
      </c>
      <c r="K9620" t="e">
        <f>VLOOKUP(B9620,'REGISTRO ABONOS'!$B$8:$BC$10012,54,0)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5"/>
        <v>105000</v>
      </c>
      <c r="K9621" t="e">
        <f>VLOOKUP(B9621,'REGISTRO ABONOS'!$B$8:$BC$10012,54,0)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5"/>
        <v>105000</v>
      </c>
      <c r="K9622" t="e">
        <f>VLOOKUP(B9622,'REGISTRO ABONOS'!$B$8:$BC$10012,54,0)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5"/>
        <v>105000</v>
      </c>
      <c r="K9623" t="e">
        <f>VLOOKUP(B9623,'REGISTRO ABONOS'!$B$8:$BC$10012,54,0)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5"/>
        <v>105000</v>
      </c>
      <c r="K9624" t="e">
        <f>VLOOKUP(B9624,'REGISTRO ABONOS'!$B$8:$BC$10012,54,0)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5"/>
        <v>105000</v>
      </c>
      <c r="K9625" t="e">
        <f>VLOOKUP(B9625,'REGISTRO ABONOS'!$B$8:$BC$10012,54,0)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5"/>
        <v>105000</v>
      </c>
      <c r="K9626" t="e">
        <f>VLOOKUP(B9626,'REGISTRO ABONOS'!$B$8:$BC$10012,54,0)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5"/>
        <v>105000</v>
      </c>
      <c r="K9627" t="e">
        <f>VLOOKUP(B9627,'REGISTRO ABONOS'!$B$8:$BC$10012,54,0)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5"/>
        <v>105000</v>
      </c>
      <c r="K9628" t="e">
        <f>VLOOKUP(B9628,'REGISTRO ABONOS'!$B$8:$BC$10012,54,0)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5"/>
        <v>105000</v>
      </c>
      <c r="K9629" t="e">
        <f>VLOOKUP(B9629,'REGISTRO ABONOS'!$B$8:$BC$10012,54,0)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5"/>
        <v>105000</v>
      </c>
      <c r="K9630" t="e">
        <f>VLOOKUP(B9630,'REGISTRO ABONOS'!$B$8:$BC$10012,54,0)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5"/>
        <v>105000</v>
      </c>
      <c r="K9631" t="e">
        <f>VLOOKUP(B9631,'REGISTRO ABONOS'!$B$8:$BC$10012,54,0)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5"/>
        <v>105000</v>
      </c>
      <c r="K9632" t="e">
        <f>VLOOKUP(B9632,'REGISTRO ABONOS'!$B$8:$BC$10012,54,0)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5"/>
        <v>105000</v>
      </c>
      <c r="K9633" t="e">
        <f>VLOOKUP(B9633,'REGISTRO ABONOS'!$B$8:$BC$10012,54,0)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5"/>
        <v>105000</v>
      </c>
      <c r="K9634" t="e">
        <f>VLOOKUP(B9634,'REGISTRO ABONOS'!$B$8:$BC$10012,54,0)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5"/>
        <v>105000</v>
      </c>
      <c r="K9635" t="e">
        <f>VLOOKUP(B9635,'REGISTRO ABONOS'!$B$8:$BC$10012,54,0)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5"/>
        <v>105000</v>
      </c>
      <c r="K9636" t="e">
        <f>VLOOKUP(B9636,'REGISTRO ABONOS'!$B$8:$BC$10012,54,0)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5"/>
        <v>105000</v>
      </c>
      <c r="K9637" t="e">
        <f>VLOOKUP(B9637,'REGISTRO ABONOS'!$B$8:$BC$10012,54,0)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5"/>
        <v>105000</v>
      </c>
      <c r="K9638" t="e">
        <f>VLOOKUP(B9638,'REGISTRO ABONOS'!$B$8:$BC$10012,54,0)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5"/>
        <v>105000</v>
      </c>
      <c r="K9639" t="e">
        <f>VLOOKUP(B9639,'REGISTRO ABONOS'!$B$8:$BC$10012,54,0)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5"/>
        <v>105000</v>
      </c>
      <c r="K9640" t="e">
        <f>VLOOKUP(B9640,'REGISTRO ABONOS'!$B$8:$BC$10012,54,0)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5"/>
        <v>105000</v>
      </c>
      <c r="K9641" t="e">
        <f>VLOOKUP(B9641,'REGISTRO ABONOS'!$B$8:$BC$10012,54,0)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si="155"/>
        <v>105000</v>
      </c>
      <c r="K9642" t="e">
        <f>VLOOKUP(B9642,'REGISTRO ABONOS'!$B$8:$BC$10012,54,0)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ABONOS'!$B$8:$BC$10012,54,0)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ABONOS'!$B$8:$BC$10012,54,0)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ABONOS'!$B$8:$BC$10012,54,0)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ABONOS'!$B$8:$BC$10012,54,0)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ABONOS'!$B$8:$BC$10012,54,0)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ref="J9648:J9711" si="156">IF(C9648&gt;43607,130000,105000)</f>
        <v>105000</v>
      </c>
      <c r="K9648" t="e">
        <f>VLOOKUP(B9648,'REGISTRO ABONOS'!$B$8:$BC$10012,54,0)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6"/>
        <v>105000</v>
      </c>
      <c r="K9649" t="e">
        <f>VLOOKUP(B9649,'REGISTRO ABONOS'!$B$8:$BC$10012,54,0)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6"/>
        <v>105000</v>
      </c>
      <c r="K9650" t="e">
        <f>VLOOKUP(B9650,'REGISTRO ABONOS'!$B$8:$BC$10012,54,0)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6"/>
        <v>105000</v>
      </c>
      <c r="K9651" t="e">
        <f>VLOOKUP(B9651,'REGISTRO ABONOS'!$B$8:$BC$10012,54,0)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6"/>
        <v>105000</v>
      </c>
      <c r="K9652" t="e">
        <f>VLOOKUP(B9652,'REGISTRO ABONOS'!$B$8:$BC$10012,54,0)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6"/>
        <v>105000</v>
      </c>
      <c r="K9653" t="e">
        <f>VLOOKUP(B9653,'REGISTRO ABONOS'!$B$8:$BC$10012,54,0)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6"/>
        <v>105000</v>
      </c>
      <c r="K9654" t="e">
        <f>VLOOKUP(B9654,'REGISTRO ABONOS'!$B$8:$BC$10012,54,0)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6"/>
        <v>105000</v>
      </c>
      <c r="K9655" t="e">
        <f>VLOOKUP(B9655,'REGISTRO ABONOS'!$B$8:$BC$10012,54,0)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6"/>
        <v>105000</v>
      </c>
      <c r="K9656" t="e">
        <f>VLOOKUP(B9656,'REGISTRO ABONOS'!$B$8:$BC$10012,54,0)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6"/>
        <v>105000</v>
      </c>
      <c r="K9657" t="e">
        <f>VLOOKUP(B9657,'REGISTRO ABONOS'!$B$8:$BC$10012,54,0)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J9658">
        <f t="shared" si="156"/>
        <v>105000</v>
      </c>
      <c r="K9658" t="e">
        <f>VLOOKUP(B9658,'REGISTRO ABONOS'!$B$8:$BC$10012,54,0)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6"/>
        <v>105000</v>
      </c>
      <c r="K9659" t="e">
        <f>VLOOKUP(B9659,'REGISTRO ABONOS'!$B$8:$BC$10012,54,0)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6"/>
        <v>105000</v>
      </c>
      <c r="K9660" t="e">
        <f>VLOOKUP(B9660,'REGISTRO ABONOS'!$B$8:$BC$10012,54,0)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6"/>
        <v>105000</v>
      </c>
      <c r="K9661" t="e">
        <f>VLOOKUP(B9661,'REGISTRO ABONOS'!$B$8:$BC$10012,54,0)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6"/>
        <v>105000</v>
      </c>
      <c r="K9662" t="e">
        <f>VLOOKUP(B9662,'REGISTRO ABONOS'!$B$8:$BC$10012,54,0)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6"/>
        <v>105000</v>
      </c>
      <c r="K9663" t="e">
        <f>VLOOKUP(B9663,'REGISTRO ABONOS'!$B$8:$BC$10012,54,0)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6"/>
        <v>105000</v>
      </c>
      <c r="K9664" t="e">
        <f>VLOOKUP(B9664,'REGISTRO ABONOS'!$B$8:$BC$10012,54,0)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6"/>
        <v>105000</v>
      </c>
      <c r="K9665" t="e">
        <f>VLOOKUP(B9665,'REGISTRO ABONOS'!$B$8:$BC$10012,54,0)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6"/>
        <v>105000</v>
      </c>
      <c r="K9666" t="e">
        <f>VLOOKUP(B9666,'REGISTRO ABONOS'!$B$8:$BC$10012,54,0)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6"/>
        <v>105000</v>
      </c>
      <c r="K9667" t="e">
        <f>VLOOKUP(B9667,'REGISTRO ABONOS'!$B$8:$BC$10012,54,0)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6"/>
        <v>105000</v>
      </c>
      <c r="K9668" t="e">
        <f>VLOOKUP(B9668,'REGISTRO ABONOS'!$B$8:$BC$10012,54,0)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6"/>
        <v>105000</v>
      </c>
      <c r="K9669" t="e">
        <f>VLOOKUP(B9669,'REGISTRO ABONOS'!$B$8:$BC$10012,54,0)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6"/>
        <v>105000</v>
      </c>
      <c r="K9670" t="e">
        <f>VLOOKUP(B9670,'REGISTRO ABONOS'!$B$8:$BC$10012,54,0)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6"/>
        <v>105000</v>
      </c>
      <c r="K9671" t="e">
        <f>VLOOKUP(B9671,'REGISTRO ABONOS'!$B$8:$BC$10012,54,0)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6"/>
        <v>105000</v>
      </c>
      <c r="K9672" t="e">
        <f>VLOOKUP(B9672,'REGISTRO ABONOS'!$B$8:$BC$10012,54,0)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6"/>
        <v>105000</v>
      </c>
      <c r="K9673" t="e">
        <f>VLOOKUP(B9673,'REGISTRO ABONOS'!$B$8:$BC$10012,54,0)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6"/>
        <v>105000</v>
      </c>
      <c r="K9674" t="e">
        <f>VLOOKUP(B9674,'REGISTRO ABONOS'!$B$8:$BC$10012,54,0)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6"/>
        <v>105000</v>
      </c>
      <c r="K9675" t="e">
        <f>VLOOKUP(B9675,'REGISTRO ABONOS'!$B$8:$BC$10012,54,0)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6"/>
        <v>105000</v>
      </c>
      <c r="K9676" t="e">
        <f>VLOOKUP(B9676,'REGISTRO ABONOS'!$B$8:$BC$10012,54,0)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6"/>
        <v>105000</v>
      </c>
      <c r="K9677" t="e">
        <f>VLOOKUP(B9677,'REGISTRO ABONOS'!$B$8:$BC$10012,54,0)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6"/>
        <v>105000</v>
      </c>
      <c r="K9678" t="e">
        <f>VLOOKUP(B9678,'REGISTRO ABONOS'!$B$8:$BC$10012,54,0)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6"/>
        <v>105000</v>
      </c>
      <c r="K9679" t="e">
        <f>VLOOKUP(B9679,'REGISTRO ABONOS'!$B$8:$BC$10012,54,0)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6"/>
        <v>105000</v>
      </c>
      <c r="K9680" t="e">
        <f>VLOOKUP(B9680,'REGISTRO ABONOS'!$B$8:$BC$10012,54,0)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6"/>
        <v>105000</v>
      </c>
      <c r="K9681" t="e">
        <f>VLOOKUP(B9681,'REGISTRO ABONOS'!$B$8:$BC$10012,54,0)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6"/>
        <v>105000</v>
      </c>
      <c r="K9682" t="e">
        <f>VLOOKUP(B9682,'REGISTRO ABONOS'!$B$8:$BC$10012,54,0)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6"/>
        <v>105000</v>
      </c>
      <c r="K9683" t="e">
        <f>VLOOKUP(B9683,'REGISTRO ABONOS'!$B$8:$BC$10012,54,0)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6"/>
        <v>105000</v>
      </c>
      <c r="K9684" t="e">
        <f>VLOOKUP(B9684,'REGISTRO ABONOS'!$B$8:$BC$10012,54,0)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6"/>
        <v>105000</v>
      </c>
      <c r="K9685" t="e">
        <f>VLOOKUP(B9685,'REGISTRO ABONOS'!$B$8:$BC$10012,54,0)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6"/>
        <v>105000</v>
      </c>
      <c r="K9686" t="e">
        <f>VLOOKUP(B9686,'REGISTRO ABONOS'!$B$8:$BC$10012,54,0)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6"/>
        <v>105000</v>
      </c>
      <c r="K9687" t="e">
        <f>VLOOKUP(B9687,'REGISTRO ABONOS'!$B$8:$BC$10012,54,0)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6"/>
        <v>105000</v>
      </c>
      <c r="K9688" t="e">
        <f>VLOOKUP(B9688,'REGISTRO ABONOS'!$B$8:$BC$10012,54,0)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6"/>
        <v>105000</v>
      </c>
      <c r="K9689" t="e">
        <f>VLOOKUP(B9689,'REGISTRO ABONOS'!$B$8:$BC$10012,54,0)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6"/>
        <v>105000</v>
      </c>
      <c r="K9690" t="e">
        <f>VLOOKUP(B9690,'REGISTRO ABONOS'!$B$8:$BC$10012,54,0)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6"/>
        <v>105000</v>
      </c>
      <c r="K9691" t="e">
        <f>VLOOKUP(B9691,'REGISTRO ABONOS'!$B$8:$BC$10012,54,0)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6"/>
        <v>105000</v>
      </c>
      <c r="K9692" t="e">
        <f>VLOOKUP(B9692,'REGISTRO ABONOS'!$B$8:$BC$10012,54,0)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6"/>
        <v>105000</v>
      </c>
      <c r="K9693" t="e">
        <f>VLOOKUP(B9693,'REGISTRO ABONOS'!$B$8:$BC$10012,54,0)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6"/>
        <v>105000</v>
      </c>
      <c r="K9694" t="e">
        <f>VLOOKUP(B9694,'REGISTRO ABONOS'!$B$8:$BC$10012,54,0)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6"/>
        <v>105000</v>
      </c>
      <c r="K9695" t="e">
        <f>VLOOKUP(B9695,'REGISTRO ABONOS'!$B$8:$BC$10012,54,0)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6"/>
        <v>105000</v>
      </c>
      <c r="K9696" t="e">
        <f>VLOOKUP(B9696,'REGISTRO ABONOS'!$B$8:$BC$10012,54,0)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6"/>
        <v>105000</v>
      </c>
      <c r="K9697" t="e">
        <f>VLOOKUP(B9697,'REGISTRO ABONOS'!$B$8:$BC$10012,54,0)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6"/>
        <v>105000</v>
      </c>
      <c r="K9698" t="e">
        <f>VLOOKUP(B9698,'REGISTRO ABONOS'!$B$8:$BC$10012,54,0)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6"/>
        <v>105000</v>
      </c>
      <c r="K9699" t="e">
        <f>VLOOKUP(B9699,'REGISTRO ABONOS'!$B$8:$BC$10012,54,0)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6"/>
        <v>105000</v>
      </c>
      <c r="K9700" t="e">
        <f>VLOOKUP(B9700,'REGISTRO ABONOS'!$B$8:$BC$10012,54,0)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6"/>
        <v>105000</v>
      </c>
      <c r="K9701" t="e">
        <f>VLOOKUP(B9701,'REGISTRO ABONOS'!$B$8:$BC$10012,54,0)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6"/>
        <v>105000</v>
      </c>
      <c r="K9702" t="e">
        <f>VLOOKUP(B9702,'REGISTRO ABONOS'!$B$8:$BC$10012,54,0)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6"/>
        <v>105000</v>
      </c>
      <c r="K9703" t="e">
        <f>VLOOKUP(B9703,'REGISTRO ABONOS'!$B$8:$BC$10012,54,0)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6"/>
        <v>105000</v>
      </c>
      <c r="K9704" t="e">
        <f>VLOOKUP(B9704,'REGISTRO ABONOS'!$B$8:$BC$10012,54,0)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6"/>
        <v>105000</v>
      </c>
      <c r="K9705" t="e">
        <f>VLOOKUP(B9705,'REGISTRO ABONOS'!$B$8:$BC$10012,54,0)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si="156"/>
        <v>105000</v>
      </c>
      <c r="K9706" t="e">
        <f>VLOOKUP(B9706,'REGISTRO ABONOS'!$B$8:$BC$10012,54,0)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ABONOS'!$B$8:$BC$10012,54,0)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ABONOS'!$B$8:$BC$10012,54,0)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ABONOS'!$B$8:$BC$10012,54,0)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ABONOS'!$B$8:$BC$10012,54,0)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ABONOS'!$B$8:$BC$10012,54,0)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ref="J9712:J9775" si="157">IF(C9712&gt;43607,130000,105000)</f>
        <v>105000</v>
      </c>
      <c r="K9712" t="e">
        <f>VLOOKUP(B9712,'REGISTRO ABONOS'!$B$8:$BC$10012,54,0)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7"/>
        <v>105000</v>
      </c>
      <c r="K9713" t="e">
        <f>VLOOKUP(B9713,'REGISTRO ABONOS'!$B$8:$BC$10012,54,0)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7"/>
        <v>105000</v>
      </c>
      <c r="K9714" t="e">
        <f>VLOOKUP(B9714,'REGISTRO ABONOS'!$B$8:$BC$10012,54,0)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7"/>
        <v>105000</v>
      </c>
      <c r="K9715" t="e">
        <f>VLOOKUP(B9715,'REGISTRO ABONOS'!$B$8:$BC$10012,54,0)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7"/>
        <v>105000</v>
      </c>
      <c r="K9716" t="e">
        <f>VLOOKUP(B9716,'REGISTRO ABONOS'!$B$8:$BC$10012,54,0)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7"/>
        <v>105000</v>
      </c>
      <c r="K9717" t="e">
        <f>VLOOKUP(B9717,'REGISTRO ABONOS'!$B$8:$BC$10012,54,0)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7"/>
        <v>105000</v>
      </c>
      <c r="K9718" t="e">
        <f>VLOOKUP(B9718,'REGISTRO ABONOS'!$B$8:$BC$10012,54,0)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7"/>
        <v>105000</v>
      </c>
      <c r="K9719" t="e">
        <f>VLOOKUP(B9719,'REGISTRO ABONOS'!$B$8:$BC$10012,54,0)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7"/>
        <v>105000</v>
      </c>
      <c r="K9720" t="e">
        <f>VLOOKUP(B9720,'REGISTRO ABONOS'!$B$8:$BC$10012,54,0)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7"/>
        <v>105000</v>
      </c>
      <c r="K9721" t="e">
        <f>VLOOKUP(B9721,'REGISTRO ABONOS'!$B$8:$BC$10012,54,0)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7"/>
        <v>105000</v>
      </c>
      <c r="K9722" t="e">
        <f>VLOOKUP(B9722,'REGISTRO ABONOS'!$B$8:$BC$10012,54,0)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7"/>
        <v>105000</v>
      </c>
      <c r="K9723" t="e">
        <f>VLOOKUP(B9723,'REGISTRO ABONOS'!$B$8:$BC$10012,54,0)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7"/>
        <v>105000</v>
      </c>
      <c r="K9724" t="e">
        <f>VLOOKUP(B9724,'REGISTRO ABONOS'!$B$8:$BC$10012,54,0)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7"/>
        <v>105000</v>
      </c>
      <c r="K9725" t="e">
        <f>VLOOKUP(B9725,'REGISTRO ABONOS'!$B$8:$BC$10012,54,0)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7"/>
        <v>105000</v>
      </c>
      <c r="K9726" t="e">
        <f>VLOOKUP(B9726,'REGISTRO ABONOS'!$B$8:$BC$10012,54,0)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7"/>
        <v>105000</v>
      </c>
      <c r="K9727" t="e">
        <f>VLOOKUP(B9727,'REGISTRO ABONOS'!$B$8:$BC$10012,54,0)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7"/>
        <v>105000</v>
      </c>
      <c r="K9728" t="e">
        <f>VLOOKUP(B9728,'REGISTRO ABONOS'!$B$8:$BC$10012,54,0)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7"/>
        <v>105000</v>
      </c>
      <c r="K9729" t="e">
        <f>VLOOKUP(B9729,'REGISTRO ABONOS'!$B$8:$BC$10012,54,0)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7"/>
        <v>105000</v>
      </c>
      <c r="K9730" t="e">
        <f>VLOOKUP(B9730,'REGISTRO ABONOS'!$B$8:$BC$10012,54,0)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7"/>
        <v>105000</v>
      </c>
      <c r="K9731" t="e">
        <f>VLOOKUP(B9731,'REGISTRO ABONOS'!$B$8:$BC$10012,54,0)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7"/>
        <v>105000</v>
      </c>
      <c r="K9732" t="e">
        <f>VLOOKUP(B9732,'REGISTRO ABONOS'!$B$8:$BC$10012,54,0)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7"/>
        <v>105000</v>
      </c>
      <c r="K9733" t="e">
        <f>VLOOKUP(B9733,'REGISTRO ABONOS'!$B$8:$BC$10012,54,0)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7"/>
        <v>105000</v>
      </c>
      <c r="K9734" t="e">
        <f>VLOOKUP(B9734,'REGISTRO ABONOS'!$B$8:$BC$10012,54,0)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7"/>
        <v>105000</v>
      </c>
      <c r="K9735" t="e">
        <f>VLOOKUP(B9735,'REGISTRO ABONOS'!$B$8:$BC$10012,54,0)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7"/>
        <v>105000</v>
      </c>
      <c r="K9736" t="e">
        <f>VLOOKUP(B9736,'REGISTRO ABONOS'!$B$8:$BC$10012,54,0)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7"/>
        <v>105000</v>
      </c>
      <c r="K9737" t="e">
        <f>VLOOKUP(B9737,'REGISTRO ABONOS'!$B$8:$BC$10012,54,0)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7"/>
        <v>105000</v>
      </c>
      <c r="K9738" t="e">
        <f>VLOOKUP(B9738,'REGISTRO ABONOS'!$B$8:$BC$10012,54,0)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7"/>
        <v>105000</v>
      </c>
      <c r="K9739" t="e">
        <f>VLOOKUP(B9739,'REGISTRO ABONOS'!$B$8:$BC$10012,54,0)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7"/>
        <v>105000</v>
      </c>
      <c r="K9740" t="e">
        <f>VLOOKUP(B9740,'REGISTRO ABONOS'!$B$8:$BC$10012,54,0)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7"/>
        <v>105000</v>
      </c>
      <c r="K9741" t="e">
        <f>VLOOKUP(B9741,'REGISTRO ABONOS'!$B$8:$BC$10012,54,0)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7"/>
        <v>105000</v>
      </c>
      <c r="K9742" t="e">
        <f>VLOOKUP(B9742,'REGISTRO ABONOS'!$B$8:$BC$10012,54,0)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7"/>
        <v>105000</v>
      </c>
      <c r="K9743" t="e">
        <f>VLOOKUP(B9743,'REGISTRO ABONOS'!$B$8:$BC$10012,54,0)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7"/>
        <v>105000</v>
      </c>
      <c r="K9744" t="e">
        <f>VLOOKUP(B9744,'REGISTRO ABONOS'!$B$8:$BC$10012,54,0)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7"/>
        <v>105000</v>
      </c>
      <c r="K9745" t="e">
        <f>VLOOKUP(B9745,'REGISTRO ABONOS'!$B$8:$BC$10012,54,0)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7"/>
        <v>105000</v>
      </c>
      <c r="K9746" t="e">
        <f>VLOOKUP(B9746,'REGISTRO ABONOS'!$B$8:$BC$10012,54,0)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7"/>
        <v>105000</v>
      </c>
      <c r="K9747" t="e">
        <f>VLOOKUP(B9747,'REGISTRO ABONOS'!$B$8:$BC$10012,54,0)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7"/>
        <v>105000</v>
      </c>
      <c r="K9748" t="e">
        <f>VLOOKUP(B9748,'REGISTRO ABONOS'!$B$8:$BC$10012,54,0)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7"/>
        <v>105000</v>
      </c>
      <c r="K9749" t="e">
        <f>VLOOKUP(B9749,'REGISTRO ABONOS'!$B$8:$BC$10012,54,0)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7"/>
        <v>105000</v>
      </c>
      <c r="K9750" t="e">
        <f>VLOOKUP(B9750,'REGISTRO ABONOS'!$B$8:$BC$10012,54,0)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7"/>
        <v>105000</v>
      </c>
      <c r="K9751" t="e">
        <f>VLOOKUP(B9751,'REGISTRO ABONOS'!$B$8:$BC$10012,54,0)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7"/>
        <v>105000</v>
      </c>
      <c r="K9752" t="e">
        <f>VLOOKUP(B9752,'REGISTRO ABONOS'!$B$8:$BC$10012,54,0)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7"/>
        <v>105000</v>
      </c>
      <c r="K9753" t="e">
        <f>VLOOKUP(B9753,'REGISTRO ABONOS'!$B$8:$BC$10012,54,0)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7"/>
        <v>105000</v>
      </c>
      <c r="K9754" t="e">
        <f>VLOOKUP(B9754,'REGISTRO ABONOS'!$B$8:$BC$10012,54,0)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7"/>
        <v>105000</v>
      </c>
      <c r="K9755" t="e">
        <f>VLOOKUP(B9755,'REGISTRO ABONOS'!$B$8:$BC$10012,54,0)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7"/>
        <v>105000</v>
      </c>
      <c r="K9756" t="e">
        <f>VLOOKUP(B9756,'REGISTRO ABONOS'!$B$8:$BC$10012,54,0)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7"/>
        <v>105000</v>
      </c>
      <c r="K9757" t="e">
        <f>VLOOKUP(B9757,'REGISTRO ABONOS'!$B$8:$BC$10012,54,0)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7"/>
        <v>105000</v>
      </c>
      <c r="K9758" t="e">
        <f>VLOOKUP(B9758,'REGISTRO ABONOS'!$B$8:$BC$10012,54,0)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7"/>
        <v>105000</v>
      </c>
      <c r="K9759" t="e">
        <f>VLOOKUP(B9759,'REGISTRO ABONOS'!$B$8:$BC$10012,54,0)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7"/>
        <v>105000</v>
      </c>
      <c r="K9760" t="e">
        <f>VLOOKUP(B9760,'REGISTRO ABONOS'!$B$8:$BC$10012,54,0)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7"/>
        <v>105000</v>
      </c>
      <c r="K9761" t="e">
        <f>VLOOKUP(B9761,'REGISTRO ABONOS'!$B$8:$BC$10012,54,0)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7"/>
        <v>105000</v>
      </c>
      <c r="K9762" t="e">
        <f>VLOOKUP(B9762,'REGISTRO ABONOS'!$B$8:$BC$10012,54,0)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7"/>
        <v>105000</v>
      </c>
      <c r="K9763" t="e">
        <f>VLOOKUP(B9763,'REGISTRO ABONOS'!$B$8:$BC$10012,54,0)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7"/>
        <v>105000</v>
      </c>
      <c r="K9764" t="e">
        <f>VLOOKUP(B9764,'REGISTRO ABONOS'!$B$8:$BC$10012,54,0)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7"/>
        <v>105000</v>
      </c>
      <c r="K9765" t="e">
        <f>VLOOKUP(B9765,'REGISTRO ABONOS'!$B$8:$BC$10012,54,0)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7"/>
        <v>105000</v>
      </c>
      <c r="K9766" t="e">
        <f>VLOOKUP(B9766,'REGISTRO ABONOS'!$B$8:$BC$10012,54,0)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7"/>
        <v>105000</v>
      </c>
      <c r="K9767" t="e">
        <f>VLOOKUP(B9767,'REGISTRO ABONOS'!$B$8:$BC$10012,54,0)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7"/>
        <v>105000</v>
      </c>
      <c r="K9768" t="e">
        <f>VLOOKUP(B9768,'REGISTRO ABONOS'!$B$8:$BC$10012,54,0)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7"/>
        <v>105000</v>
      </c>
      <c r="K9769" t="e">
        <f>VLOOKUP(B9769,'REGISTRO ABONOS'!$B$8:$BC$10012,54,0)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si="157"/>
        <v>105000</v>
      </c>
      <c r="K9770" t="e">
        <f>VLOOKUP(B9770,'REGISTRO ABONOS'!$B$8:$BC$10012,54,0)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ABONOS'!$B$8:$BC$10012,54,0)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ABONOS'!$B$8:$BC$10012,54,0)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ABONOS'!$B$8:$BC$10012,54,0)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ABONOS'!$B$8:$BC$10012,54,0)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ABONOS'!$B$8:$BC$10012,54,0)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ref="J9776:J9839" si="158">IF(C9776&gt;43607,130000,105000)</f>
        <v>105000</v>
      </c>
      <c r="K9776" t="e">
        <f>VLOOKUP(B9776,'REGISTRO ABONOS'!$B$8:$BC$10012,54,0)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8"/>
        <v>105000</v>
      </c>
      <c r="K9777" t="e">
        <f>VLOOKUP(B9777,'REGISTRO ABONOS'!$B$8:$BC$10012,54,0)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8"/>
        <v>105000</v>
      </c>
      <c r="K9778" t="e">
        <f>VLOOKUP(B9778,'REGISTRO ABONOS'!$B$8:$BC$10012,54,0)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8"/>
        <v>105000</v>
      </c>
      <c r="K9779" t="e">
        <f>VLOOKUP(B9779,'REGISTRO ABONOS'!$B$8:$BC$10012,54,0)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8"/>
        <v>105000</v>
      </c>
      <c r="K9780" t="e">
        <f>VLOOKUP(B9780,'REGISTRO ABONOS'!$B$8:$BC$10012,54,0)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8"/>
        <v>105000</v>
      </c>
      <c r="K9781" t="e">
        <f>VLOOKUP(B9781,'REGISTRO ABONOS'!$B$8:$BC$10012,54,0)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8"/>
        <v>105000</v>
      </c>
      <c r="K9782" t="e">
        <f>VLOOKUP(B9782,'REGISTRO ABONOS'!$B$8:$BC$10012,54,0)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8"/>
        <v>105000</v>
      </c>
      <c r="K9783" t="e">
        <f>VLOOKUP(B9783,'REGISTRO ABONOS'!$B$8:$BC$10012,54,0)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8"/>
        <v>105000</v>
      </c>
      <c r="K9784" t="e">
        <f>VLOOKUP(B9784,'REGISTRO ABONOS'!$B$8:$BC$10012,54,0)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8"/>
        <v>105000</v>
      </c>
      <c r="K9785" t="e">
        <f>VLOOKUP(B9785,'REGISTRO ABONOS'!$B$8:$BC$10012,54,0)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8"/>
        <v>105000</v>
      </c>
      <c r="K9786" t="e">
        <f>VLOOKUP(B9786,'REGISTRO ABONOS'!$B$8:$BC$10012,54,0)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8"/>
        <v>105000</v>
      </c>
      <c r="K9787" t="e">
        <f>VLOOKUP(B9787,'REGISTRO ABONOS'!$B$8:$BC$10012,54,0)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8"/>
        <v>105000</v>
      </c>
      <c r="K9788" t="e">
        <f>VLOOKUP(B9788,'REGISTRO ABONOS'!$B$8:$BC$10012,54,0)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8"/>
        <v>105000</v>
      </c>
      <c r="K9789" t="e">
        <f>VLOOKUP(B9789,'REGISTRO ABONOS'!$B$8:$BC$10012,54,0)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8"/>
        <v>105000</v>
      </c>
      <c r="K9790" t="e">
        <f>VLOOKUP(B9790,'REGISTRO ABONOS'!$B$8:$BC$10012,54,0)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8"/>
        <v>105000</v>
      </c>
      <c r="K9791" t="e">
        <f>VLOOKUP(B9791,'REGISTRO ABONOS'!$B$8:$BC$10012,54,0)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8"/>
        <v>105000</v>
      </c>
      <c r="K9792" t="e">
        <f>VLOOKUP(B9792,'REGISTRO ABONOS'!$B$8:$BC$10012,54,0)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8"/>
        <v>105000</v>
      </c>
      <c r="K9793" t="e">
        <f>VLOOKUP(B9793,'REGISTRO ABONOS'!$B$8:$BC$10012,54,0)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8"/>
        <v>105000</v>
      </c>
      <c r="K9794" t="e">
        <f>VLOOKUP(B9794,'REGISTRO ABONOS'!$B$8:$BC$10012,54,0)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8"/>
        <v>105000</v>
      </c>
      <c r="K9795" t="e">
        <f>VLOOKUP(B9795,'REGISTRO ABONOS'!$B$8:$BC$10012,54,0)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8"/>
        <v>105000</v>
      </c>
      <c r="K9796" t="e">
        <f>VLOOKUP(B9796,'REGISTRO ABONOS'!$B$8:$BC$10012,54,0)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8"/>
        <v>105000</v>
      </c>
      <c r="K9797" t="e">
        <f>VLOOKUP(B9797,'REGISTRO ABONOS'!$B$8:$BC$10012,54,0)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8"/>
        <v>105000</v>
      </c>
      <c r="K9798" t="e">
        <f>VLOOKUP(B9798,'REGISTRO ABONOS'!$B$8:$BC$10012,54,0)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8"/>
        <v>105000</v>
      </c>
      <c r="K9799" t="e">
        <f>VLOOKUP(B9799,'REGISTRO ABONOS'!$B$8:$BC$10012,54,0)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8"/>
        <v>105000</v>
      </c>
      <c r="K9800" t="e">
        <f>VLOOKUP(B9800,'REGISTRO ABONOS'!$B$8:$BC$10012,54,0)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8"/>
        <v>105000</v>
      </c>
      <c r="K9801" t="e">
        <f>VLOOKUP(B9801,'REGISTRO ABONOS'!$B$8:$BC$10012,54,0)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8"/>
        <v>105000</v>
      </c>
      <c r="K9802" t="e">
        <f>VLOOKUP(B9802,'REGISTRO ABONOS'!$B$8:$BC$10012,54,0)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8"/>
        <v>105000</v>
      </c>
      <c r="K9803" t="e">
        <f>VLOOKUP(B9803,'REGISTRO ABONOS'!$B$8:$BC$10012,54,0)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8"/>
        <v>105000</v>
      </c>
      <c r="K9804" t="e">
        <f>VLOOKUP(B9804,'REGISTRO ABONOS'!$B$8:$BC$10012,54,0)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8"/>
        <v>105000</v>
      </c>
      <c r="K9805" t="e">
        <f>VLOOKUP(B9805,'REGISTRO ABONOS'!$B$8:$BC$10012,54,0)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8"/>
        <v>105000</v>
      </c>
      <c r="K9806" t="e">
        <f>VLOOKUP(B9806,'REGISTRO ABONOS'!$B$8:$BC$10012,54,0)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8"/>
        <v>105000</v>
      </c>
      <c r="K9807" t="e">
        <f>VLOOKUP(B9807,'REGISTRO ABONOS'!$B$8:$BC$10012,54,0)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8"/>
        <v>105000</v>
      </c>
      <c r="K9808" t="e">
        <f>VLOOKUP(B9808,'REGISTRO ABONOS'!$B$8:$BC$10012,54,0)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8"/>
        <v>105000</v>
      </c>
      <c r="K9809" t="e">
        <f>VLOOKUP(B9809,'REGISTRO ABONOS'!$B$8:$BC$10012,54,0)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8"/>
        <v>105000</v>
      </c>
      <c r="K9810" t="e">
        <f>VLOOKUP(B9810,'REGISTRO ABONOS'!$B$8:$BC$10012,54,0)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8"/>
        <v>105000</v>
      </c>
      <c r="K9811" t="e">
        <f>VLOOKUP(B9811,'REGISTRO ABONOS'!$B$8:$BC$10012,54,0)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8"/>
        <v>105000</v>
      </c>
      <c r="K9812" t="e">
        <f>VLOOKUP(B9812,'REGISTRO ABONOS'!$B$8:$BC$10012,54,0)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8"/>
        <v>105000</v>
      </c>
      <c r="K9813" t="e">
        <f>VLOOKUP(B9813,'REGISTRO ABONOS'!$B$8:$BC$10012,54,0)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8"/>
        <v>105000</v>
      </c>
      <c r="K9814" t="e">
        <f>VLOOKUP(B9814,'REGISTRO ABONOS'!$B$8:$BC$10012,54,0)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8"/>
        <v>105000</v>
      </c>
      <c r="K9815" t="e">
        <f>VLOOKUP(B9815,'REGISTRO ABONOS'!$B$8:$BC$10012,54,0)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8"/>
        <v>105000</v>
      </c>
      <c r="K9816" t="e">
        <f>VLOOKUP(B9816,'REGISTRO ABONOS'!$B$8:$BC$10012,54,0)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8"/>
        <v>105000</v>
      </c>
      <c r="K9817" t="e">
        <f>VLOOKUP(B9817,'REGISTRO ABONOS'!$B$8:$BC$10012,54,0)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8"/>
        <v>105000</v>
      </c>
      <c r="K9818" t="e">
        <f>VLOOKUP(B9818,'REGISTRO ABONOS'!$B$8:$BC$10012,54,0)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8"/>
        <v>105000</v>
      </c>
      <c r="K9819" t="e">
        <f>VLOOKUP(B9819,'REGISTRO ABONOS'!$B$8:$BC$10012,54,0)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8"/>
        <v>105000</v>
      </c>
      <c r="K9820" t="e">
        <f>VLOOKUP(B9820,'REGISTRO ABONOS'!$B$8:$BC$10012,54,0)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8"/>
        <v>105000</v>
      </c>
      <c r="K9821" t="e">
        <f>VLOOKUP(B9821,'REGISTRO ABONOS'!$B$8:$BC$10012,54,0)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8"/>
        <v>105000</v>
      </c>
      <c r="K9822" t="e">
        <f>VLOOKUP(B9822,'REGISTRO ABONOS'!$B$8:$BC$10012,54,0)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8"/>
        <v>105000</v>
      </c>
      <c r="K9823" t="e">
        <f>VLOOKUP(B9823,'REGISTRO ABONOS'!$B$8:$BC$10012,54,0)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8"/>
        <v>105000</v>
      </c>
      <c r="K9824" t="e">
        <f>VLOOKUP(B9824,'REGISTRO ABONOS'!$B$8:$BC$10012,54,0)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8"/>
        <v>105000</v>
      </c>
      <c r="K9825" t="e">
        <f>VLOOKUP(B9825,'REGISTRO ABONOS'!$B$8:$BC$10012,54,0)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8"/>
        <v>105000</v>
      </c>
      <c r="K9826" t="e">
        <f>VLOOKUP(B9826,'REGISTRO ABONOS'!$B$8:$BC$10012,54,0)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8"/>
        <v>105000</v>
      </c>
      <c r="K9827" t="e">
        <f>VLOOKUP(B9827,'REGISTRO ABONOS'!$B$8:$BC$10012,54,0)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8"/>
        <v>105000</v>
      </c>
      <c r="K9828" t="e">
        <f>VLOOKUP(B9828,'REGISTRO ABONOS'!$B$8:$BC$10012,54,0)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8"/>
        <v>105000</v>
      </c>
      <c r="K9829" t="e">
        <f>VLOOKUP(B9829,'REGISTRO ABONOS'!$B$8:$BC$10012,54,0)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8"/>
        <v>105000</v>
      </c>
      <c r="K9830" t="e">
        <f>VLOOKUP(B9830,'REGISTRO ABONOS'!$B$8:$BC$10012,54,0)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8"/>
        <v>105000</v>
      </c>
      <c r="K9831" t="e">
        <f>VLOOKUP(B9831,'REGISTRO ABONOS'!$B$8:$BC$10012,54,0)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8"/>
        <v>105000</v>
      </c>
      <c r="K9832" t="e">
        <f>VLOOKUP(B9832,'REGISTRO ABONOS'!$B$8:$BC$10012,54,0)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8"/>
        <v>105000</v>
      </c>
      <c r="K9833" t="e">
        <f>VLOOKUP(B9833,'REGISTRO ABONOS'!$B$8:$BC$10012,54,0)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si="158"/>
        <v>105000</v>
      </c>
      <c r="K9834" t="e">
        <f>VLOOKUP(B9834,'REGISTRO ABONOS'!$B$8:$BC$10012,54,0)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J9835">
        <f t="shared" si="158"/>
        <v>105000</v>
      </c>
      <c r="K9835" t="e">
        <f>VLOOKUP(B9835,'REGISTRO ABONOS'!$B$8:$BC$10012,54,0)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ABONOS'!$B$8:$BC$10012,54,0)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ABONOS'!$B$8:$BC$10012,54,0)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ABONOS'!$B$8:$BC$10012,54,0)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ABONOS'!$B$8:$BC$10012,54,0)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ref="J9840:J9903" si="159">IF(C9840&gt;43607,130000,105000)</f>
        <v>105000</v>
      </c>
      <c r="K9840" t="e">
        <f>VLOOKUP(B9840,'REGISTRO ABONOS'!$B$8:$BC$10012,54,0)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9"/>
        <v>105000</v>
      </c>
      <c r="K9841" t="e">
        <f>VLOOKUP(B9841,'REGISTRO ABONOS'!$B$8:$BC$10012,54,0)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9"/>
        <v>105000</v>
      </c>
      <c r="K9842" t="e">
        <f>VLOOKUP(B9842,'REGISTRO ABONOS'!$B$8:$BC$10012,54,0)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9"/>
        <v>105000</v>
      </c>
      <c r="K9843" t="e">
        <f>VLOOKUP(B9843,'REGISTRO ABONOS'!$B$8:$BC$10012,54,0)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9"/>
        <v>105000</v>
      </c>
      <c r="K9844" t="e">
        <f>VLOOKUP(B9844,'REGISTRO ABONOS'!$B$8:$BC$10012,54,0)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9"/>
        <v>105000</v>
      </c>
      <c r="K9845" t="e">
        <f>VLOOKUP(B9845,'REGISTRO ABONOS'!$B$8:$BC$10012,54,0)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9"/>
        <v>105000</v>
      </c>
      <c r="K9846" t="e">
        <f>VLOOKUP(B9846,'REGISTRO ABONOS'!$B$8:$BC$10012,54,0)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9"/>
        <v>105000</v>
      </c>
      <c r="K9847" t="e">
        <f>VLOOKUP(B9847,'REGISTRO ABONOS'!$B$8:$BC$10012,54,0)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9"/>
        <v>105000</v>
      </c>
      <c r="K9848" t="e">
        <f>VLOOKUP(B9848,'REGISTRO ABONOS'!$B$8:$BC$10012,54,0)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9"/>
        <v>105000</v>
      </c>
      <c r="K9849" t="e">
        <f>VLOOKUP(B9849,'REGISTRO ABONOS'!$B$8:$BC$10012,54,0)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9"/>
        <v>105000</v>
      </c>
      <c r="K9850" t="e">
        <f>VLOOKUP(B9850,'REGISTRO ABONOS'!$B$8:$BC$10012,54,0)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9"/>
        <v>105000</v>
      </c>
      <c r="K9851" t="e">
        <f>VLOOKUP(B9851,'REGISTRO ABONOS'!$B$8:$BC$10012,54,0)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9"/>
        <v>105000</v>
      </c>
      <c r="K9852" t="e">
        <f>VLOOKUP(B9852,'REGISTRO ABONOS'!$B$8:$BC$10012,54,0)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9"/>
        <v>105000</v>
      </c>
      <c r="K9853" t="e">
        <f>VLOOKUP(B9853,'REGISTRO ABONOS'!$B$8:$BC$10012,54,0)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9"/>
        <v>105000</v>
      </c>
      <c r="K9854" t="e">
        <f>VLOOKUP(B9854,'REGISTRO ABONOS'!$B$8:$BC$10012,54,0)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9"/>
        <v>105000</v>
      </c>
      <c r="K9855" t="e">
        <f>VLOOKUP(B9855,'REGISTRO ABONOS'!$B$8:$BC$10012,54,0)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9"/>
        <v>105000</v>
      </c>
      <c r="K9856" t="e">
        <f>VLOOKUP(B9856,'REGISTRO ABONOS'!$B$8:$BC$10012,54,0)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9"/>
        <v>105000</v>
      </c>
      <c r="K9857" t="e">
        <f>VLOOKUP(B9857,'REGISTRO ABONOS'!$B$8:$BC$10012,54,0)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9"/>
        <v>105000</v>
      </c>
      <c r="K9858" t="e">
        <f>VLOOKUP(B9858,'REGISTRO ABONOS'!$B$8:$BC$10012,54,0)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9"/>
        <v>105000</v>
      </c>
      <c r="K9859" t="e">
        <f>VLOOKUP(B9859,'REGISTRO ABONOS'!$B$8:$BC$10012,54,0)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9"/>
        <v>105000</v>
      </c>
      <c r="K9860" t="e">
        <f>VLOOKUP(B9860,'REGISTRO ABONOS'!$B$8:$BC$10012,54,0)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9"/>
        <v>105000</v>
      </c>
      <c r="K9861" t="e">
        <f>VLOOKUP(B9861,'REGISTRO ABONOS'!$B$8:$BC$10012,54,0)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9"/>
        <v>105000</v>
      </c>
      <c r="K9862" t="e">
        <f>VLOOKUP(B9862,'REGISTRO ABONOS'!$B$8:$BC$10012,54,0)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9"/>
        <v>105000</v>
      </c>
      <c r="K9863" t="e">
        <f>VLOOKUP(B9863,'REGISTRO ABONOS'!$B$8:$BC$10012,54,0)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9"/>
        <v>105000</v>
      </c>
      <c r="K9864" t="e">
        <f>VLOOKUP(B9864,'REGISTRO ABONOS'!$B$8:$BC$10012,54,0)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9"/>
        <v>105000</v>
      </c>
      <c r="K9865" t="e">
        <f>VLOOKUP(B9865,'REGISTRO ABONOS'!$B$8:$BC$10012,54,0)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9"/>
        <v>105000</v>
      </c>
      <c r="K9866" t="e">
        <f>VLOOKUP(B9866,'REGISTRO ABONOS'!$B$8:$BC$10012,54,0)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9"/>
        <v>105000</v>
      </c>
      <c r="K9867" t="e">
        <f>VLOOKUP(B9867,'REGISTRO ABONOS'!$B$8:$BC$10012,54,0)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9"/>
        <v>105000</v>
      </c>
      <c r="K9868" t="e">
        <f>VLOOKUP(B9868,'REGISTRO ABONOS'!$B$8:$BC$10012,54,0)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9"/>
        <v>105000</v>
      </c>
      <c r="K9869" t="e">
        <f>VLOOKUP(B9869,'REGISTRO ABONOS'!$B$8:$BC$10012,54,0)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9"/>
        <v>105000</v>
      </c>
      <c r="K9870" t="e">
        <f>VLOOKUP(B9870,'REGISTRO ABONOS'!$B$8:$BC$10012,54,0)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9"/>
        <v>105000</v>
      </c>
      <c r="K9871" t="e">
        <f>VLOOKUP(B9871,'REGISTRO ABONOS'!$B$8:$BC$10012,54,0)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9"/>
        <v>105000</v>
      </c>
      <c r="K9872" t="e">
        <f>VLOOKUP(B9872,'REGISTRO ABONOS'!$B$8:$BC$10012,54,0)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9"/>
        <v>105000</v>
      </c>
      <c r="K9873" t="e">
        <f>VLOOKUP(B9873,'REGISTRO ABONOS'!$B$8:$BC$10012,54,0)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9"/>
        <v>105000</v>
      </c>
      <c r="K9874" t="e">
        <f>VLOOKUP(B9874,'REGISTRO ABONOS'!$B$8:$BC$10012,54,0)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9"/>
        <v>105000</v>
      </c>
      <c r="K9875" t="e">
        <f>VLOOKUP(B9875,'REGISTRO ABONOS'!$B$8:$BC$10012,54,0)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9"/>
        <v>105000</v>
      </c>
      <c r="K9876" t="e">
        <f>VLOOKUP(B9876,'REGISTRO ABONOS'!$B$8:$BC$10012,54,0)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9"/>
        <v>105000</v>
      </c>
      <c r="K9877" t="e">
        <f>VLOOKUP(B9877,'REGISTRO ABONOS'!$B$8:$BC$10012,54,0)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9"/>
        <v>105000</v>
      </c>
      <c r="K9878" t="e">
        <f>VLOOKUP(B9878,'REGISTRO ABONOS'!$B$8:$BC$10012,54,0)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9"/>
        <v>105000</v>
      </c>
      <c r="K9879" t="e">
        <f>VLOOKUP(B9879,'REGISTRO ABONOS'!$B$8:$BC$10012,54,0)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9"/>
        <v>105000</v>
      </c>
      <c r="K9880" t="e">
        <f>VLOOKUP(B9880,'REGISTRO ABONOS'!$B$8:$BC$10012,54,0)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9"/>
        <v>105000</v>
      </c>
      <c r="K9881" t="e">
        <f>VLOOKUP(B9881,'REGISTRO ABONOS'!$B$8:$BC$10012,54,0)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9"/>
        <v>105000</v>
      </c>
      <c r="K9882" t="e">
        <f>VLOOKUP(B9882,'REGISTRO ABONOS'!$B$8:$BC$10012,54,0)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9"/>
        <v>105000</v>
      </c>
      <c r="K9883" t="e">
        <f>VLOOKUP(B9883,'REGISTRO ABONOS'!$B$8:$BC$10012,54,0)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9"/>
        <v>105000</v>
      </c>
      <c r="K9884" t="e">
        <f>VLOOKUP(B9884,'REGISTRO ABONOS'!$B$8:$BC$10012,54,0)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9"/>
        <v>105000</v>
      </c>
      <c r="K9885" t="e">
        <f>VLOOKUP(B9885,'REGISTRO ABONOS'!$B$8:$BC$10012,54,0)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9"/>
        <v>105000</v>
      </c>
      <c r="K9886" t="e">
        <f>VLOOKUP(B9886,'REGISTRO ABONOS'!$B$8:$BC$10012,54,0)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9"/>
        <v>105000</v>
      </c>
      <c r="K9887" t="e">
        <f>VLOOKUP(B9887,'REGISTRO ABONOS'!$B$8:$BC$10012,54,0)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9"/>
        <v>105000</v>
      </c>
      <c r="K9888" t="e">
        <f>VLOOKUP(B9888,'REGISTRO ABONOS'!$B$8:$BC$10012,54,0)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9"/>
        <v>105000</v>
      </c>
      <c r="K9889" t="e">
        <f>VLOOKUP(B9889,'REGISTRO ABONOS'!$B$8:$BC$10012,54,0)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9"/>
        <v>105000</v>
      </c>
      <c r="K9890" t="e">
        <f>VLOOKUP(B9890,'REGISTRO ABONOS'!$B$8:$BC$10012,54,0)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9"/>
        <v>105000</v>
      </c>
      <c r="K9891" t="e">
        <f>VLOOKUP(B9891,'REGISTRO ABONOS'!$B$8:$BC$10012,54,0)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9"/>
        <v>105000</v>
      </c>
      <c r="K9892" t="e">
        <f>VLOOKUP(B9892,'REGISTRO ABONOS'!$B$8:$BC$10012,54,0)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9"/>
        <v>105000</v>
      </c>
      <c r="K9893" t="e">
        <f>VLOOKUP(B9893,'REGISTRO ABONOS'!$B$8:$BC$10012,54,0)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9"/>
        <v>105000</v>
      </c>
      <c r="K9894" t="e">
        <f>VLOOKUP(B9894,'REGISTRO ABONOS'!$B$8:$BC$10012,54,0)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9"/>
        <v>105000</v>
      </c>
      <c r="K9895" t="e">
        <f>VLOOKUP(B9895,'REGISTRO ABONOS'!$B$8:$BC$10012,54,0)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9"/>
        <v>105000</v>
      </c>
      <c r="K9896" t="e">
        <f>VLOOKUP(B9896,'REGISTRO ABONOS'!$B$8:$BC$10012,54,0)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9"/>
        <v>105000</v>
      </c>
      <c r="K9897" t="e">
        <f>VLOOKUP(B9897,'REGISTRO ABONOS'!$B$8:$BC$10012,54,0)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si="159"/>
        <v>105000</v>
      </c>
      <c r="K9898" t="e">
        <f>VLOOKUP(B9898,'REGISTRO ABONOS'!$B$8:$BC$10012,54,0)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ABONOS'!$B$8:$BC$10012,54,0)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ABONOS'!$B$8:$BC$10012,54,0)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ABONOS'!$B$8:$BC$10012,54,0)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ABONOS'!$B$8:$BC$10012,54,0)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ABONOS'!$B$8:$BC$10012,54,0)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ref="J9904:J9967" si="160">IF(C9904&gt;43607,130000,105000)</f>
        <v>105000</v>
      </c>
      <c r="K9904" t="e">
        <f>VLOOKUP(B9904,'REGISTRO ABONOS'!$B$8:$BC$10012,54,0)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60"/>
        <v>105000</v>
      </c>
      <c r="K9905" t="e">
        <f>VLOOKUP(B9905,'REGISTRO ABONOS'!$B$8:$BC$10012,54,0)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60"/>
        <v>105000</v>
      </c>
      <c r="K9906" t="e">
        <f>VLOOKUP(B9906,'REGISTRO ABONOS'!$B$8:$BC$10012,54,0)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60"/>
        <v>105000</v>
      </c>
      <c r="K9907" t="e">
        <f>VLOOKUP(B9907,'REGISTRO ABONOS'!$B$8:$BC$10012,54,0)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60"/>
        <v>105000</v>
      </c>
      <c r="K9908" t="e">
        <f>VLOOKUP(B9908,'REGISTRO ABONOS'!$B$8:$BC$10012,54,0)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60"/>
        <v>105000</v>
      </c>
      <c r="K9909" t="e">
        <f>VLOOKUP(B9909,'REGISTRO ABONOS'!$B$8:$BC$10012,54,0)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60"/>
        <v>105000</v>
      </c>
      <c r="K9910" t="e">
        <f>VLOOKUP(B9910,'REGISTRO ABONOS'!$B$8:$BC$10012,54,0)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60"/>
        <v>105000</v>
      </c>
      <c r="K9911" t="e">
        <f>VLOOKUP(B9911,'REGISTRO ABONOS'!$B$8:$BC$10012,54,0)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60"/>
        <v>105000</v>
      </c>
      <c r="K9912" t="e">
        <f>VLOOKUP(B9912,'REGISTRO ABONOS'!$B$8:$BC$10012,54,0)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60"/>
        <v>105000</v>
      </c>
      <c r="K9913" t="e">
        <f>VLOOKUP(B9913,'REGISTRO ABONOS'!$B$8:$BC$10012,54,0)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60"/>
        <v>105000</v>
      </c>
      <c r="K9914" t="e">
        <f>VLOOKUP(B9914,'REGISTRO ABONOS'!$B$8:$BC$10012,54,0)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60"/>
        <v>105000</v>
      </c>
      <c r="K9915" t="e">
        <f>VLOOKUP(B9915,'REGISTRO ABONOS'!$B$8:$BC$10012,54,0)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60"/>
        <v>105000</v>
      </c>
      <c r="K9916" t="e">
        <f>VLOOKUP(B9916,'REGISTRO ABONOS'!$B$8:$BC$10012,54,0)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60"/>
        <v>105000</v>
      </c>
      <c r="K9917" t="e">
        <f>VLOOKUP(B9917,'REGISTRO ABONOS'!$B$8:$BC$10012,54,0)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60"/>
        <v>105000</v>
      </c>
      <c r="K9918" t="e">
        <f>VLOOKUP(B9918,'REGISTRO ABONOS'!$B$8:$BC$10012,54,0)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60"/>
        <v>105000</v>
      </c>
      <c r="K9919" t="e">
        <f>VLOOKUP(B9919,'REGISTRO ABONOS'!$B$8:$BC$10012,54,0)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60"/>
        <v>105000</v>
      </c>
      <c r="K9920" t="e">
        <f>VLOOKUP(B9920,'REGISTRO ABONOS'!$B$8:$BC$10012,54,0)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60"/>
        <v>105000</v>
      </c>
      <c r="K9921" t="e">
        <f>VLOOKUP(B9921,'REGISTRO ABONOS'!$B$8:$BC$10012,54,0)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60"/>
        <v>105000</v>
      </c>
      <c r="K9922" t="e">
        <f>VLOOKUP(B9922,'REGISTRO ABONOS'!$B$8:$BC$10012,54,0)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60"/>
        <v>105000</v>
      </c>
      <c r="K9923" t="e">
        <f>VLOOKUP(B9923,'REGISTRO ABONOS'!$B$8:$BC$10012,54,0)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60"/>
        <v>105000</v>
      </c>
      <c r="K9924" t="e">
        <f>VLOOKUP(B9924,'REGISTRO ABONOS'!$B$8:$BC$10012,54,0)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60"/>
        <v>105000</v>
      </c>
      <c r="K9925" t="e">
        <f>VLOOKUP(B9925,'REGISTRO ABONOS'!$B$8:$BC$10012,54,0)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60"/>
        <v>105000</v>
      </c>
      <c r="K9926" t="e">
        <f>VLOOKUP(B9926,'REGISTRO ABONOS'!$B$8:$BC$10012,54,0)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60"/>
        <v>105000</v>
      </c>
      <c r="K9927" t="e">
        <f>VLOOKUP(B9927,'REGISTRO ABONOS'!$B$8:$BC$10012,54,0)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60"/>
        <v>105000</v>
      </c>
      <c r="K9928" t="e">
        <f>VLOOKUP(B9928,'REGISTRO ABONOS'!$B$8:$BC$10012,54,0)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60"/>
        <v>105000</v>
      </c>
      <c r="K9929" t="e">
        <f>VLOOKUP(B9929,'REGISTRO ABONOS'!$B$8:$BC$10012,54,0)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60"/>
        <v>105000</v>
      </c>
      <c r="K9930" t="e">
        <f>VLOOKUP(B9930,'REGISTRO ABONOS'!$B$8:$BC$10012,54,0)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60"/>
        <v>105000</v>
      </c>
      <c r="K9931" t="e">
        <f>VLOOKUP(B9931,'REGISTRO ABONOS'!$B$8:$BC$10012,54,0)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60"/>
        <v>105000</v>
      </c>
      <c r="K9932" t="e">
        <f>VLOOKUP(B9932,'REGISTRO ABONOS'!$B$8:$BC$10012,54,0)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60"/>
        <v>105000</v>
      </c>
      <c r="K9933" t="e">
        <f>VLOOKUP(B9933,'REGISTRO ABONOS'!$B$8:$BC$10012,54,0)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60"/>
        <v>105000</v>
      </c>
      <c r="K9934" t="e">
        <f>VLOOKUP(B9934,'REGISTRO ABONOS'!$B$8:$BC$10012,54,0)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60"/>
        <v>105000</v>
      </c>
      <c r="K9935" t="e">
        <f>VLOOKUP(B9935,'REGISTRO ABONOS'!$B$8:$BC$10012,54,0)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60"/>
        <v>105000</v>
      </c>
      <c r="K9936" t="e">
        <f>VLOOKUP(B9936,'REGISTRO ABONOS'!$B$8:$BC$10012,54,0)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60"/>
        <v>105000</v>
      </c>
      <c r="K9937" t="e">
        <f>VLOOKUP(B9937,'REGISTRO ABONOS'!$B$8:$BC$10012,54,0)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60"/>
        <v>105000</v>
      </c>
      <c r="K9938" t="e">
        <f>VLOOKUP(B9938,'REGISTRO ABONOS'!$B$8:$BC$10012,54,0)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60"/>
        <v>105000</v>
      </c>
      <c r="K9939" t="e">
        <f>VLOOKUP(B9939,'REGISTRO ABONOS'!$B$8:$BC$10012,54,0)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60"/>
        <v>105000</v>
      </c>
      <c r="K9940" t="e">
        <f>VLOOKUP(B9940,'REGISTRO ABONOS'!$B$8:$BC$10012,54,0)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60"/>
        <v>105000</v>
      </c>
      <c r="K9941" t="e">
        <f>VLOOKUP(B9941,'REGISTRO ABONOS'!$B$8:$BC$10012,54,0)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60"/>
        <v>105000</v>
      </c>
      <c r="K9942" t="e">
        <f>VLOOKUP(B9942,'REGISTRO ABONOS'!$B$8:$BC$10012,54,0)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60"/>
        <v>105000</v>
      </c>
      <c r="K9943" t="e">
        <f>VLOOKUP(B9943,'REGISTRO ABONOS'!$B$8:$BC$10012,54,0)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60"/>
        <v>105000</v>
      </c>
      <c r="K9944" t="e">
        <f>VLOOKUP(B9944,'REGISTRO ABONOS'!$B$8:$BC$10012,54,0)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60"/>
        <v>105000</v>
      </c>
      <c r="K9945" t="e">
        <f>VLOOKUP(B9945,'REGISTRO ABONOS'!$B$8:$BC$10012,54,0)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60"/>
        <v>105000</v>
      </c>
      <c r="K9946" t="e">
        <f>VLOOKUP(B9946,'REGISTRO ABONOS'!$B$8:$BC$10012,54,0)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60"/>
        <v>105000</v>
      </c>
      <c r="K9947" t="e">
        <f>VLOOKUP(B9947,'REGISTRO ABONOS'!$B$8:$BC$10012,54,0)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60"/>
        <v>105000</v>
      </c>
      <c r="K9948" t="e">
        <f>VLOOKUP(B9948,'REGISTRO ABONOS'!$B$8:$BC$10012,54,0)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60"/>
        <v>105000</v>
      </c>
      <c r="K9949" t="e">
        <f>VLOOKUP(B9949,'REGISTRO ABONOS'!$B$8:$BC$10012,54,0)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60"/>
        <v>105000</v>
      </c>
      <c r="K9950" t="e">
        <f>VLOOKUP(B9950,'REGISTRO ABONOS'!$B$8:$BC$10012,54,0)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60"/>
        <v>105000</v>
      </c>
      <c r="K9951" t="e">
        <f>VLOOKUP(B9951,'REGISTRO ABONOS'!$B$8:$BC$10012,54,0)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60"/>
        <v>105000</v>
      </c>
      <c r="K9952" t="e">
        <f>VLOOKUP(B9952,'REGISTRO ABONOS'!$B$8:$BC$10012,54,0)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60"/>
        <v>105000</v>
      </c>
      <c r="K9953" t="e">
        <f>VLOOKUP(B9953,'REGISTRO ABONOS'!$B$8:$BC$10012,54,0)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60"/>
        <v>105000</v>
      </c>
      <c r="K9954" t="e">
        <f>VLOOKUP(B9954,'REGISTRO ABONOS'!$B$8:$BC$10012,54,0)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60"/>
        <v>105000</v>
      </c>
      <c r="K9955" t="e">
        <f>VLOOKUP(B9955,'REGISTRO ABONOS'!$B$8:$BC$10012,54,0)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60"/>
        <v>105000</v>
      </c>
      <c r="K9956" t="e">
        <f>VLOOKUP(B9956,'REGISTRO ABONOS'!$B$8:$BC$10012,54,0)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60"/>
        <v>105000</v>
      </c>
      <c r="K9957" t="e">
        <f>VLOOKUP(B9957,'REGISTRO ABONOS'!$B$8:$BC$10012,54,0)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60"/>
        <v>105000</v>
      </c>
      <c r="K9958" t="e">
        <f>VLOOKUP(B9958,'REGISTRO ABONOS'!$B$8:$BC$10012,54,0)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J9959">
        <f t="shared" si="160"/>
        <v>105000</v>
      </c>
      <c r="K9959" t="e">
        <f>VLOOKUP(B9959,'REGISTRO ABONOS'!$B$8:$BC$10012,54,0)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60"/>
        <v>105000</v>
      </c>
      <c r="K9960" t="e">
        <f>VLOOKUP(B9960,'REGISTRO ABONOS'!$B$8:$BC$10012,54,0)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60"/>
        <v>105000</v>
      </c>
      <c r="K9961" t="e">
        <f>VLOOKUP(B9961,'REGISTRO ABONOS'!$B$8:$BC$10012,54,0)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si="160"/>
        <v>105000</v>
      </c>
      <c r="K9962" t="e">
        <f>VLOOKUP(B9962,'REGISTRO ABONOS'!$B$8:$BC$10012,54,0)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ABONOS'!$B$8:$BC$10012,54,0)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ABONOS'!$B$8:$BC$10012,54,0)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ABONOS'!$B$8:$BC$10012,54,0)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ABONOS'!$B$8:$BC$10012,54,0)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ABONOS'!$B$8:$BC$10012,54,0)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ref="J9968:J10008" si="161">IF(C9968&gt;43607,130000,105000)</f>
        <v>105000</v>
      </c>
      <c r="K9968" t="e">
        <f>VLOOKUP(B9968,'REGISTRO ABONOS'!$B$8:$BC$10012,54,0)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1"/>
        <v>105000</v>
      </c>
      <c r="K9969" t="e">
        <f>VLOOKUP(B9969,'REGISTRO ABONOS'!$B$8:$BC$10012,54,0)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1"/>
        <v>105000</v>
      </c>
      <c r="K9970" t="e">
        <f>VLOOKUP(B9970,'REGISTRO ABONOS'!$B$8:$BC$10012,54,0)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1"/>
        <v>105000</v>
      </c>
      <c r="K9971" t="e">
        <f>VLOOKUP(B9971,'REGISTRO ABONOS'!$B$8:$BC$10012,54,0)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1"/>
        <v>105000</v>
      </c>
      <c r="K9972" t="e">
        <f>VLOOKUP(B9972,'REGISTRO ABONOS'!$B$8:$BC$10012,54,0)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1"/>
        <v>105000</v>
      </c>
      <c r="K9973" t="e">
        <f>VLOOKUP(B9973,'REGISTRO ABONOS'!$B$8:$BC$10012,54,0)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1"/>
        <v>105000</v>
      </c>
      <c r="K9974" t="e">
        <f>VLOOKUP(B9974,'REGISTRO ABONOS'!$B$8:$BC$10012,54,0)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1"/>
        <v>105000</v>
      </c>
      <c r="K9975" t="e">
        <f>VLOOKUP(B9975,'REGISTRO ABONOS'!$B$8:$BC$10012,54,0)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1"/>
        <v>105000</v>
      </c>
      <c r="K9976" t="e">
        <f>VLOOKUP(B9976,'REGISTRO ABONOS'!$B$8:$BC$10012,54,0)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1"/>
        <v>105000</v>
      </c>
      <c r="K9977" t="e">
        <f>VLOOKUP(B9977,'REGISTRO ABONOS'!$B$8:$BC$10012,54,0)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1"/>
        <v>105000</v>
      </c>
      <c r="K9978" t="e">
        <f>VLOOKUP(B9978,'REGISTRO ABONOS'!$B$8:$BC$10012,54,0)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1"/>
        <v>105000</v>
      </c>
      <c r="K9979" t="e">
        <f>VLOOKUP(B9979,'REGISTRO ABONOS'!$B$8:$BC$10012,54,0)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1"/>
        <v>105000</v>
      </c>
      <c r="K9980" t="e">
        <f>VLOOKUP(B9980,'REGISTRO ABONOS'!$B$8:$BC$10012,54,0)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1"/>
        <v>105000</v>
      </c>
      <c r="K9981" t="e">
        <f>VLOOKUP(B9981,'REGISTRO ABONOS'!$B$8:$BC$10012,54,0)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1"/>
        <v>105000</v>
      </c>
      <c r="K9982" t="e">
        <f>VLOOKUP(B9982,'REGISTRO ABONOS'!$B$8:$BC$10012,54,0)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1"/>
        <v>105000</v>
      </c>
      <c r="K9983" t="e">
        <f>VLOOKUP(B9983,'REGISTRO ABONOS'!$B$8:$BC$10012,54,0)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1"/>
        <v>105000</v>
      </c>
      <c r="K9984" t="e">
        <f>VLOOKUP(B9984,'REGISTRO ABONOS'!$B$8:$BC$10012,54,0)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1"/>
        <v>105000</v>
      </c>
      <c r="K9985" t="e">
        <f>VLOOKUP(B9985,'REGISTRO ABONOS'!$B$8:$BC$10012,54,0)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1"/>
        <v>105000</v>
      </c>
      <c r="K9986" t="e">
        <f>VLOOKUP(B9986,'REGISTRO ABONOS'!$B$8:$BC$10012,54,0)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1"/>
        <v>105000</v>
      </c>
      <c r="K9987" t="e">
        <f>VLOOKUP(B9987,'REGISTRO ABONOS'!$B$8:$BC$10012,54,0)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1"/>
        <v>105000</v>
      </c>
      <c r="K9988" t="e">
        <f>VLOOKUP(B9988,'REGISTRO ABONOS'!$B$8:$BC$10012,54,0)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1"/>
        <v>105000</v>
      </c>
      <c r="K9989" t="e">
        <f>VLOOKUP(B9989,'REGISTRO ABONOS'!$B$8:$BC$10012,54,0)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1"/>
        <v>105000</v>
      </c>
      <c r="K9990" t="e">
        <f>VLOOKUP(B9990,'REGISTRO ABONOS'!$B$8:$BC$10012,54,0)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1"/>
        <v>105000</v>
      </c>
      <c r="K9991" t="e">
        <f>VLOOKUP(B9991,'REGISTRO ABONOS'!$B$8:$BC$10012,54,0)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1"/>
        <v>105000</v>
      </c>
      <c r="K9992" t="e">
        <f>VLOOKUP(B9992,'REGISTRO ABONOS'!$B$8:$BC$10012,54,0)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1"/>
        <v>105000</v>
      </c>
      <c r="K9993" t="e">
        <f>VLOOKUP(B9993,'REGISTRO ABONOS'!$B$8:$BC$10012,54,0)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1"/>
        <v>105000</v>
      </c>
      <c r="K9994" t="e">
        <f>VLOOKUP(B9994,'REGISTRO ABONOS'!$B$8:$BC$10012,54,0)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1"/>
        <v>105000</v>
      </c>
      <c r="K9995" t="e">
        <f>VLOOKUP(B9995,'REGISTRO ABONOS'!$B$8:$BC$10012,54,0)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1"/>
        <v>105000</v>
      </c>
      <c r="K9996" t="e">
        <f>VLOOKUP(B9996,'REGISTRO ABONOS'!$B$8:$BC$10012,54,0)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1"/>
        <v>105000</v>
      </c>
      <c r="K9997" t="e">
        <f>VLOOKUP(B9997,'REGISTRO ABONOS'!$B$8:$BC$10012,54,0)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1"/>
        <v>105000</v>
      </c>
      <c r="K9998" t="e">
        <f>VLOOKUP(B9998,'REGISTRO ABONOS'!$B$8:$BC$10012,54,0)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1"/>
        <v>105000</v>
      </c>
      <c r="K9999" t="e">
        <f>VLOOKUP(B9999,'REGISTRO ABONOS'!$B$8:$BC$10012,54,0)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1"/>
        <v>105000</v>
      </c>
      <c r="K10000" t="e">
        <f>VLOOKUP(B10000,'REGISTRO ABONOS'!$B$8:$BC$10012,54,0)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1"/>
        <v>105000</v>
      </c>
      <c r="K10001" t="e">
        <f>VLOOKUP(B10001,'REGISTRO ABONOS'!$B$8:$BC$10012,54,0)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1"/>
        <v>105000</v>
      </c>
      <c r="K10002" t="e">
        <f>VLOOKUP(B10002,'REGISTRO ABONOS'!$B$8:$BC$10012,54,0)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1"/>
        <v>105000</v>
      </c>
      <c r="K10003" t="e">
        <f>VLOOKUP(B10003,'REGISTRO ABONOS'!$B$8:$BC$10012,54,0)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1"/>
        <v>105000</v>
      </c>
      <c r="K10004" t="e">
        <f>VLOOKUP(B10004,'REGISTRO ABONOS'!$B$8:$BC$10012,54,0)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1"/>
        <v>105000</v>
      </c>
      <c r="K10005" t="e">
        <f>VLOOKUP(B10005,'REGISTRO ABONOS'!$B$8:$BC$10012,54,0)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1"/>
        <v>105000</v>
      </c>
      <c r="K10006" t="e">
        <f>VLOOKUP(B10006,'REGISTRO ABONOS'!$B$8:$BC$10012,54,0)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1"/>
        <v>105000</v>
      </c>
      <c r="K10007" t="e">
        <f>VLOOKUP(B10007,'REGISTRO ABONOS'!$B$8:$BC$10012,54,0)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1"/>
        <v>105000</v>
      </c>
      <c r="K10008" t="e">
        <f>VLOOKUP(B10008,'REGISTRO ABONOS'!$B$8:$BC$10012,54,0)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08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2019-04-09T22:56:07Z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